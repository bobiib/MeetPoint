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405B58D3-498F-45DC-916F-4E5960CA62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beitspakete" sheetId="1" r:id="rId1"/>
    <sheet name="Gantt Diagramm" sheetId="2" r:id="rId2"/>
    <sheet name="Earned Value Analysis" sheetId="3" r:id="rId3"/>
  </sheets>
  <definedNames>
    <definedName name="_xlnm._FilterDatabase" localSheetId="0" hidden="1">Arbeitspakete!$A$3:$M$100</definedName>
    <definedName name="_xlnm._FilterDatabase" localSheetId="2" hidden="1">'Earned Value Analysis'!$A$3:$O$100</definedName>
    <definedName name="_xlnm._FilterDatabase" localSheetId="1" hidden="1">'Gantt Diagramm'!$A$3:$AU$100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3" l="1"/>
  <c r="N27" i="3"/>
  <c r="L27" i="3"/>
  <c r="O26" i="3"/>
  <c r="N26" i="3"/>
  <c r="L26" i="3"/>
  <c r="O25" i="3"/>
  <c r="N25" i="3"/>
  <c r="O24" i="3"/>
  <c r="N24" i="3"/>
  <c r="O23" i="3"/>
  <c r="N23" i="3"/>
  <c r="O22" i="3"/>
  <c r="N22" i="3"/>
  <c r="O21" i="3"/>
  <c r="N21" i="3"/>
  <c r="L21" i="3"/>
  <c r="O20" i="3"/>
  <c r="N20" i="3"/>
  <c r="L20" i="3"/>
  <c r="O19" i="3"/>
  <c r="N19" i="3"/>
  <c r="O18" i="3"/>
  <c r="N18" i="3"/>
  <c r="O17" i="3"/>
  <c r="N17" i="3"/>
  <c r="L17" i="3"/>
  <c r="O16" i="3"/>
  <c r="N16" i="3"/>
  <c r="L16" i="3"/>
  <c r="O15" i="3"/>
  <c r="N15" i="3"/>
  <c r="O14" i="3"/>
  <c r="N14" i="3"/>
  <c r="O13" i="3"/>
  <c r="N13" i="3"/>
  <c r="O12" i="3"/>
  <c r="N12" i="3"/>
  <c r="L12" i="3"/>
  <c r="O11" i="3"/>
  <c r="N11" i="3"/>
  <c r="L11" i="3"/>
  <c r="O10" i="3"/>
  <c r="N10" i="3"/>
  <c r="O9" i="3"/>
  <c r="N9" i="3"/>
  <c r="L9" i="3"/>
  <c r="O8" i="3"/>
  <c r="N8" i="3"/>
  <c r="L8" i="3"/>
  <c r="O7" i="3"/>
  <c r="N7" i="3"/>
  <c r="O6" i="3"/>
  <c r="N6" i="3"/>
  <c r="O5" i="3"/>
  <c r="N5" i="3"/>
  <c r="O4" i="3"/>
  <c r="O1" i="3" s="1"/>
  <c r="N4" i="3"/>
  <c r="N1" i="3" s="1"/>
  <c r="I1" i="3"/>
  <c r="H1" i="3"/>
  <c r="L24" i="3" l="1"/>
  <c r="L13" i="3"/>
  <c r="L6" i="3"/>
  <c r="L10" i="3"/>
  <c r="L14" i="3"/>
  <c r="L18" i="3"/>
  <c r="L22" i="3"/>
  <c r="L25" i="3"/>
  <c r="L4" i="3"/>
  <c r="L5" i="3"/>
  <c r="L7" i="3"/>
  <c r="L15" i="3"/>
  <c r="L19" i="3"/>
  <c r="L23" i="3"/>
  <c r="K1" i="3"/>
  <c r="L1" i="3" l="1"/>
</calcChain>
</file>

<file path=xl/sharedStrings.xml><?xml version="1.0" encoding="utf-8"?>
<sst xmlns="http://schemas.openxmlformats.org/spreadsheetml/2006/main" count="404" uniqueCount="160">
  <si>
    <t>Projekt: MeetPoint</t>
  </si>
  <si>
    <t>Code</t>
  </si>
  <si>
    <t>Titel der Aufgabe
(Bezeichnung)</t>
  </si>
  <si>
    <t>Beschreibung der Aufgabe
(möglichst spezifisch / konkret)</t>
  </si>
  <si>
    <t>Ergebnisse und Ziele
(mit Abnahmekriterien)</t>
  </si>
  <si>
    <t>Status</t>
  </si>
  <si>
    <t>Verantwortliche Person</t>
  </si>
  <si>
    <t>Benötigte Ressourcen</t>
  </si>
  <si>
    <t>Aufwand
(Stunden)</t>
  </si>
  <si>
    <t>Aufwand
(CHF)</t>
  </si>
  <si>
    <t>Start
Datum</t>
  </si>
  <si>
    <t>Ende
Datum</t>
  </si>
  <si>
    <t>Voraussetzungen (Arbeitspakete)</t>
  </si>
  <si>
    <t>Abhängigkeiten (Arbeitspakete)</t>
  </si>
  <si>
    <t>1.1</t>
  </si>
  <si>
    <t>Registrierung umsetzen</t>
  </si>
  <si>
    <t>Registrierungsformular erstellen und mit der Benutzer-Tabelle verbinden.</t>
  </si>
  <si>
    <t>Registrierung funktioniert; gültige Benutzerdaten werden gespeichert.</t>
  </si>
  <si>
    <t>Offen</t>
  </si>
  <si>
    <t>Boris</t>
  </si>
  <si>
    <t>WebStorm, PostgreSQL, PostgREST</t>
  </si>
  <si>
    <t>-</t>
  </si>
  <si>
    <t>1.2, 1.3</t>
  </si>
  <si>
    <t>1.2</t>
  </si>
  <si>
    <t>Benutzerdaten speichern</t>
  </si>
  <si>
    <t>Benutzerfelder definieren und Speicherung über die API umsetzen.</t>
  </si>
  <si>
    <t>Benutzerdaten werden vollständig und korrekt in der Datenbank gespeichert.</t>
  </si>
  <si>
    <t>Dmytro</t>
  </si>
  <si>
    <t>PostgreSQL, PostgREST, DBeaver</t>
  </si>
  <si>
    <t>1.3</t>
  </si>
  <si>
    <t>Login und Logout umsetzen</t>
  </si>
  <si>
    <t>Login- und Logout-Funktion für registrierte Benutzer erstellen.</t>
  </si>
  <si>
    <t>Benutzer kann sich anmelden und abmelden; ungültige Logins werden abgewiesen.</t>
  </si>
  <si>
    <t>Fabio</t>
  </si>
  <si>
    <t>WebStorm, Browser</t>
  </si>
  <si>
    <t>1.1, 1.2</t>
  </si>
  <si>
    <t>1.4</t>
  </si>
  <si>
    <t>Passwort sicher speichern</t>
  </si>
  <si>
    <t>Passwortspeicherung mit Hashing-Konzept umsetzen.</t>
  </si>
  <si>
    <t>Passwörter werden nicht im Klartext gespeichert; Login funktioniert weiterhin.</t>
  </si>
  <si>
    <t>Noël</t>
  </si>
  <si>
    <t>WebStorm, PostgreSQL</t>
  </si>
  <si>
    <t>6.1, 6.2</t>
  </si>
  <si>
    <t>2.1</t>
  </si>
  <si>
    <t>Gruppe erstellen, anzeigen und bearbeiten</t>
  </si>
  <si>
    <t>CRUD-Funktionen für Gruppen umsetzen.</t>
  </si>
  <si>
    <t>Gruppen können erstellt, angezeigt und bearbeitet werden.</t>
  </si>
  <si>
    <t>WebStorm, PostgREST</t>
  </si>
  <si>
    <t>2.2</t>
  </si>
  <si>
    <t>Mitglieder hinzufügen und entfernen</t>
  </si>
  <si>
    <t>Funktion zur Verwaltung von Gruppenmitgliedern erstellen.</t>
  </si>
  <si>
    <t>Mitglieder können hinzugefügt und entfernt werden; Gruppenansicht aktualisiert sich korrekt.</t>
  </si>
  <si>
    <t>WebStorm, Datenbank</t>
  </si>
  <si>
    <t>6.3</t>
  </si>
  <si>
    <t>3.1</t>
  </si>
  <si>
    <t>Interessen erfassen, speichern und anzeigen</t>
  </si>
  <si>
    <t>Interessen pro Gruppe erfassen und anzeigen.</t>
  </si>
  <si>
    <t>Interessen können gespeichert und pro Gruppe angezeigt werden.</t>
  </si>
  <si>
    <t>3.2</t>
  </si>
  <si>
    <t>Aktivitätsvorschläge anzeigen</t>
  </si>
  <si>
    <t>Aktivitätsvorschläge passend zu gespeicherten Interessen anzeigen.</t>
  </si>
  <si>
    <t>Aktivitätsvorschläge sind sichtbar und der richtigen Gruppe zugeordnet.</t>
  </si>
  <si>
    <t>6.4</t>
  </si>
  <si>
    <t>4.1</t>
  </si>
  <si>
    <t>Terminvorschlag erstellen</t>
  </si>
  <si>
    <t>Formular für Terminvorschläge mit Datum, Zeit und Beschreibung erstellen.</t>
  </si>
  <si>
    <t>Ein Terminvorschlag kann vollständig erfasst werden.</t>
  </si>
  <si>
    <t>4.2</t>
  </si>
  <si>
    <t>Termine speichern und anzeigen</t>
  </si>
  <si>
    <t>Terminvorschläge speichern und in der Gruppe anzeigen.</t>
  </si>
  <si>
    <t>Termine werden gespeichert und in der Übersicht korrekt angezeigt.</t>
  </si>
  <si>
    <t>PostgreSQL, PostgREST</t>
  </si>
  <si>
    <t>4.1, 5.3</t>
  </si>
  <si>
    <t>4.3</t>
  </si>
  <si>
    <t>Verfügbarkeit eintragen</t>
  </si>
  <si>
    <t>Benutzer können ihre Verfügbarkeit zu Terminvorschlägen eintragen.</t>
  </si>
  <si>
    <t>Verfügbarkeit wird pro Benutzer und Termin korrekt gespeichert.</t>
  </si>
  <si>
    <t>4.4</t>
  </si>
  <si>
    <t>Passenden Termin anzeigen</t>
  </si>
  <si>
    <t>Logik für den passendsten Termin implementieren.</t>
  </si>
  <si>
    <t>System zeigt den Termin mit den meisten verfügbaren Teilnehmern an.</t>
  </si>
  <si>
    <t>WebStorm, JavaScript</t>
  </si>
  <si>
    <t>6.5</t>
  </si>
  <si>
    <t>5.1</t>
  </si>
  <si>
    <t>Tabellen erstellen</t>
  </si>
  <si>
    <t>Datenbanktabellen für Benutzer, Gruppen, Interessen, Aktivitäten und Termine erstellen.</t>
  </si>
  <si>
    <t>Alle benötigten Tabellen existieren mit passenden Spalten und Datentypen.</t>
  </si>
  <si>
    <t>DBeaver, PostgreSQL</t>
  </si>
  <si>
    <t>5.2</t>
  </si>
  <si>
    <t>Beziehungen erstellen</t>
  </si>
  <si>
    <t>Primär- und Fremdschlüssel zwischen den Tabellen definieren.</t>
  </si>
  <si>
    <t>Tabellenbeziehungen sind korrekt gesetzt; referenzielle Integrität ist vorhanden.</t>
  </si>
  <si>
    <t>5.3</t>
  </si>
  <si>
    <t>PostgreSQL verbinden</t>
  </si>
  <si>
    <t>Verbindung zwischen Anwendung/API und PostgreSQL konfigurieren.</t>
  </si>
  <si>
    <t>Die Anwendung kann Daten aus PostgreSQL abrufen.</t>
  </si>
  <si>
    <t>PostgreSQL, WebStorm</t>
  </si>
  <si>
    <t>5.4</t>
  </si>
  <si>
    <t>PostgREST einrichten</t>
  </si>
  <si>
    <t>PostgREST-Endpunkte für die benötigten Tabellen bereitstellen.</t>
  </si>
  <si>
    <t>API-Endpunkte sind erreichbar und liefern korrekte Daten.</t>
  </si>
  <si>
    <t>PostgREST, PostgreSQL</t>
  </si>
  <si>
    <t>5.5</t>
  </si>
  <si>
    <t>API testen</t>
  </si>
  <si>
    <t>API-Endpunkte mit Testdaten prüfen.</t>
  </si>
  <si>
    <t>GET- und POST-Anfragen funktionieren für die Kernfunktionen.</t>
  </si>
  <si>
    <t>Browser, PostgREST</t>
  </si>
  <si>
    <t>6.1-6.5</t>
  </si>
  <si>
    <t>6.1</t>
  </si>
  <si>
    <t>Registrierung testen</t>
  </si>
  <si>
    <t>Registrierung mit gültigen und ungültigen Daten testen.</t>
  </si>
  <si>
    <t>Registrierungsfunktion ist geprüft; Fehler sind dokumentiert.</t>
  </si>
  <si>
    <t>Browser, Testfälle</t>
  </si>
  <si>
    <t>6.6</t>
  </si>
  <si>
    <t>6.2</t>
  </si>
  <si>
    <t>Login testen</t>
  </si>
  <si>
    <t>Login und Logout mit gültigen und ungültigen Benutzerdaten testen.</t>
  </si>
  <si>
    <t>Login/Logout ist geprüft; Fehler sind dokumentiert.</t>
  </si>
  <si>
    <t>1.3, 1.4</t>
  </si>
  <si>
    <t>Gruppen testen</t>
  </si>
  <si>
    <t>Gruppenerstellung und Mitgliederverwaltung testen.</t>
  </si>
  <si>
    <t>Gruppenfunktionen sind geprüft und funktionieren gemäss Anforderungen.</t>
  </si>
  <si>
    <t>2.1, 2.2</t>
  </si>
  <si>
    <t>Aktivitäten testen</t>
  </si>
  <si>
    <t>Interessen- und Aktivitätsfunktionen testen.</t>
  </si>
  <si>
    <t>Interessen und Aktivitäten werden korrekt gespeichert und angezeigt.</t>
  </si>
  <si>
    <t>3.1, 3.2</t>
  </si>
  <si>
    <t>Terminplanung testen</t>
  </si>
  <si>
    <t>Terminvorschläge, Verfügbarkeiten und passenden Termin testen.</t>
  </si>
  <si>
    <t>Terminplanung funktioniert vollständig und nachvollziehbar.</t>
  </si>
  <si>
    <t>4.1-4.4</t>
  </si>
  <si>
    <t>Fehler beheben</t>
  </si>
  <si>
    <t>Dokumentierte Fehler priorisieren und beheben.</t>
  </si>
  <si>
    <t>Kritische Fehler sind behoben; Nachtest ist erfolgreich.</t>
  </si>
  <si>
    <t>6.7</t>
  </si>
  <si>
    <t>Abschlusstest</t>
  </si>
  <si>
    <t>Gesamte Webapplikation mit Kernablauf testen.</t>
  </si>
  <si>
    <t>Alle Kernfunktionen funktionieren im End-to-End-Test.</t>
  </si>
  <si>
    <t>Freitag 1</t>
  </si>
  <si>
    <t>Freitag 2</t>
  </si>
  <si>
    <t>Freitag 3</t>
  </si>
  <si>
    <t>Freitag 4</t>
  </si>
  <si>
    <t>Freitag 5</t>
  </si>
  <si>
    <t>Freitag 6</t>
  </si>
  <si>
    <t>Bezeichnung</t>
  </si>
  <si>
    <t>Stichdatum</t>
  </si>
  <si>
    <t>Actual Value</t>
  </si>
  <si>
    <t>Planned Value</t>
  </si>
  <si>
    <t>Earned Value</t>
  </si>
  <si>
    <t>Geschätzte
Stunden</t>
  </si>
  <si>
    <t>Geschätzte
CHF</t>
  </si>
  <si>
    <t>Tatsächliche
Stunden</t>
  </si>
  <si>
    <t>Tatsächliche
CHF</t>
  </si>
  <si>
    <t>Geplanter
Fertigstellungsgrad</t>
  </si>
  <si>
    <t>Geplante
Stunden</t>
  </si>
  <si>
    <t>Geplante
CHF</t>
  </si>
  <si>
    <t>Tatsächlicher
Fertigstellungsgrad</t>
  </si>
  <si>
    <t>Erarbeiteter
Stundenwert</t>
  </si>
  <si>
    <t>Erarbeiteter
CHF-Wert</t>
  </si>
  <si>
    <t>0CHF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</si>
</sst>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_ ;[Red]\-#,##0.00\ "/>
    <numFmt numFmtId="165" formatCode="_ * #,##0.00_ ;_ * \-#,##0.00_ ;_ * &quot;-&quot;??_ ;_ @_ "/>
    <numFmt numFmtId="166" formatCode="yyyy\-mm\-dd\ h:mm:ss"/>
    <numFmt numFmtId="167" formatCode="dd\.mm\.yyyy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D3"/>
      </patternFill>
    </fill>
    <fill>
      <patternFill patternType="solid">
        <fgColor rgb="FF6FA8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5" fillId="0" borderId="0"/>
    <xf numFmtId="9" fontId="5" fillId="0" borderId="0"/>
  </cellStyleXfs>
  <cellXfs count="102">
    <xf numFmtId="0" fontId="0" fillId="0" borderId="0" xfId="0"/>
    <xf numFmtId="14" fontId="2" fillId="0" borderId="0" xfId="0" applyNumberFormat="1" applyFont="1" applyAlignment="1">
      <alignment vertical="center"/>
    </xf>
    <xf numFmtId="14" fontId="0" fillId="0" borderId="0" xfId="0" applyNumberFormat="1" applyAlignment="1">
      <alignment vertical="top" wrapText="1"/>
    </xf>
    <xf numFmtId="14" fontId="1" fillId="2" borderId="11" xfId="0" applyNumberFormat="1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0" fillId="0" borderId="0" xfId="0" applyAlignment="1">
      <alignment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14" fontId="2" fillId="0" borderId="0" xfId="0" applyNumberFormat="1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4" borderId="14" xfId="1" applyNumberFormat="1" applyFont="1" applyFill="1" applyBorder="1" applyAlignment="1">
      <alignment horizontal="center" vertical="center" wrapText="1"/>
    </xf>
    <xf numFmtId="0" fontId="6" fillId="4" borderId="15" xfId="1" applyNumberFormat="1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6" fillId="4" borderId="3" xfId="1" applyNumberFormat="1" applyFont="1" applyFill="1" applyBorder="1" applyAlignment="1">
      <alignment horizontal="center" vertical="center" wrapText="1"/>
    </xf>
    <xf numFmtId="0" fontId="6" fillId="4" borderId="5" xfId="1" applyNumberFormat="1" applyFont="1" applyFill="1" applyBorder="1" applyAlignment="1">
      <alignment horizontal="center" vertical="center" wrapText="1"/>
    </xf>
    <xf numFmtId="0" fontId="6" fillId="4" borderId="6" xfId="1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4" fontId="1" fillId="2" borderId="11" xfId="0" applyNumberFormat="1" applyFont="1" applyFill="1" applyBorder="1" applyAlignment="1">
      <alignment horizontal="center" vertical="center" textRotation="90" wrapText="1"/>
    </xf>
    <xf numFmtId="164" fontId="0" fillId="0" borderId="0" xfId="0" applyNumberFormat="1" applyAlignment="1">
      <alignment vertical="top" wrapText="1"/>
    </xf>
    <xf numFmtId="165" fontId="1" fillId="0" borderId="0" xfId="1" applyNumberFormat="1" applyFont="1" applyAlignment="1">
      <alignment horizontal="left" vertical="center"/>
    </xf>
    <xf numFmtId="165" fontId="1" fillId="0" borderId="0" xfId="1" applyNumberFormat="1" applyFont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1" xfId="1" applyNumberFormat="1" applyFont="1" applyFill="1" applyBorder="1" applyAlignment="1">
      <alignment horizontal="center" vertical="center" textRotation="90" wrapText="1"/>
    </xf>
    <xf numFmtId="164" fontId="1" fillId="2" borderId="12" xfId="0" applyNumberFormat="1" applyFont="1" applyFill="1" applyBorder="1" applyAlignment="1">
      <alignment horizontal="center" vertical="center" textRotation="90" wrapText="1"/>
    </xf>
    <xf numFmtId="164" fontId="2" fillId="0" borderId="0" xfId="0" applyNumberFormat="1" applyFont="1" applyAlignment="1">
      <alignment horizontal="center" vertical="center" textRotation="90" wrapText="1"/>
    </xf>
    <xf numFmtId="9" fontId="1" fillId="2" borderId="11" xfId="0" applyNumberFormat="1" applyFont="1" applyFill="1" applyBorder="1" applyAlignment="1">
      <alignment horizontal="center" vertical="center" textRotation="90" wrapText="1"/>
    </xf>
    <xf numFmtId="9" fontId="1" fillId="5" borderId="11" xfId="0" applyNumberFormat="1" applyFont="1" applyFill="1" applyBorder="1" applyAlignment="1">
      <alignment horizontal="center" vertical="center" textRotation="90" wrapText="1"/>
    </xf>
    <xf numFmtId="164" fontId="1" fillId="5" borderId="11" xfId="1" applyNumberFormat="1" applyFont="1" applyFill="1" applyBorder="1" applyAlignment="1">
      <alignment horizontal="center" vertical="center" textRotation="90" wrapText="1"/>
    </xf>
    <xf numFmtId="164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9" fontId="7" fillId="0" borderId="0" xfId="1" applyNumberFormat="1" applyFont="1" applyAlignment="1">
      <alignment horizontal="right" vertical="center"/>
    </xf>
    <xf numFmtId="164" fontId="1" fillId="0" borderId="0" xfId="1" applyNumberFormat="1" applyFont="1" applyAlignment="1">
      <alignment horizontal="right" vertical="center"/>
    </xf>
    <xf numFmtId="9" fontId="1" fillId="0" borderId="0" xfId="1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164" fontId="0" fillId="0" borderId="0" xfId="1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4" fontId="1" fillId="2" borderId="19" xfId="0" applyNumberFormat="1" applyFont="1" applyFill="1" applyBorder="1" applyAlignment="1">
      <alignment horizontal="center" vertical="center" textRotation="90" wrapText="1"/>
    </xf>
    <xf numFmtId="14" fontId="1" fillId="3" borderId="20" xfId="0" applyNumberFormat="1" applyFont="1" applyFill="1" applyBorder="1" applyAlignment="1">
      <alignment horizontal="center" vertical="center" textRotation="90" wrapText="1"/>
    </xf>
    <xf numFmtId="165" fontId="1" fillId="0" borderId="0" xfId="1" applyNumberFormat="1" applyFont="1" applyAlignment="1">
      <alignment horizontal="right" vertical="center"/>
    </xf>
    <xf numFmtId="0" fontId="1" fillId="2" borderId="17" xfId="1" applyNumberFormat="1" applyFont="1" applyFill="1" applyBorder="1" applyAlignment="1">
      <alignment horizontal="center" vertical="center" wrapText="1"/>
    </xf>
    <xf numFmtId="0" fontId="1" fillId="7" borderId="17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168" fontId="5" fillId="0" borderId="8" xfId="0" applyNumberFormat="1" applyFont="1" applyBorder="1" applyAlignment="1">
      <alignment vertical="top" wrapText="1"/>
    </xf>
    <xf numFmtId="166" fontId="5" fillId="0" borderId="8" xfId="0" applyNumberFormat="1" applyFont="1" applyBorder="1" applyAlignment="1">
      <alignment vertical="top" wrapText="1"/>
    </xf>
    <xf numFmtId="167" fontId="5" fillId="0" borderId="8" xfId="0" applyNumberFormat="1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164" fontId="5" fillId="0" borderId="8" xfId="0" applyNumberFormat="1" applyFont="1" applyBorder="1" applyAlignment="1">
      <alignment vertical="top" wrapText="1"/>
    </xf>
    <xf numFmtId="14" fontId="5" fillId="0" borderId="8" xfId="0" applyNumberFormat="1" applyFont="1" applyBorder="1" applyAlignment="1">
      <alignment vertical="top" wrapText="1"/>
    </xf>
    <xf numFmtId="14" fontId="8" fillId="8" borderId="22" xfId="0" applyNumberFormat="1" applyFont="1" applyFill="1" applyBorder="1" applyAlignment="1">
      <alignment horizontal="center" vertical="center" wrapText="1"/>
    </xf>
    <xf numFmtId="167" fontId="8" fillId="8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167" fontId="0" fillId="0" borderId="22" xfId="0" applyNumberFormat="1" applyBorder="1" applyAlignment="1">
      <alignment vertical="center" wrapText="1"/>
    </xf>
    <xf numFmtId="0" fontId="6" fillId="9" borderId="22" xfId="1" applyNumberFormat="1" applyFont="1" applyFill="1" applyBorder="1" applyAlignment="1">
      <alignment vertical="center" wrapText="1"/>
    </xf>
    <xf numFmtId="0" fontId="6" fillId="0" borderId="22" xfId="1" applyNumberFormat="1" applyFont="1" applyBorder="1" applyAlignment="1">
      <alignment vertical="center" wrapText="1"/>
    </xf>
    <xf numFmtId="0" fontId="6" fillId="0" borderId="2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6" fillId="0" borderId="4" xfId="1" applyNumberFormat="1" applyFont="1" applyBorder="1" applyAlignment="1">
      <alignment horizontal="center" vertical="center" wrapText="1"/>
    </xf>
    <xf numFmtId="0" fontId="6" fillId="0" borderId="5" xfId="1" applyNumberFormat="1" applyFont="1" applyBorder="1" applyAlignment="1">
      <alignment horizontal="center" vertical="center" wrapText="1"/>
    </xf>
    <xf numFmtId="167" fontId="1" fillId="5" borderId="18" xfId="0" applyNumberFormat="1" applyFont="1" applyFill="1" applyBorder="1" applyAlignment="1">
      <alignment horizontal="right" vertical="center"/>
    </xf>
    <xf numFmtId="164" fontId="5" fillId="0" borderId="13" xfId="0" applyNumberFormat="1" applyFont="1" applyBorder="1" applyAlignment="1">
      <alignment horizontal="left" vertical="center" wrapText="1"/>
    </xf>
    <xf numFmtId="164" fontId="5" fillId="0" borderId="14" xfId="0" applyNumberFormat="1" applyFont="1" applyBorder="1" applyAlignment="1">
      <alignment horizontal="left" vertical="center" wrapText="1"/>
    </xf>
    <xf numFmtId="168" fontId="5" fillId="0" borderId="14" xfId="0" applyNumberFormat="1" applyFont="1" applyBorder="1" applyAlignment="1">
      <alignment horizontal="right" vertical="center" wrapText="1"/>
    </xf>
    <xf numFmtId="164" fontId="5" fillId="0" borderId="14" xfId="0" applyNumberFormat="1" applyFont="1" applyBorder="1" applyAlignment="1">
      <alignment horizontal="right" vertical="center" wrapText="1"/>
    </xf>
    <xf numFmtId="167" fontId="5" fillId="0" borderId="14" xfId="0" applyNumberFormat="1" applyFont="1" applyBorder="1" applyAlignment="1">
      <alignment horizontal="right" vertical="center" wrapText="1"/>
    </xf>
    <xf numFmtId="164" fontId="5" fillId="6" borderId="14" xfId="1" applyNumberFormat="1" applyFill="1" applyBorder="1" applyAlignment="1">
      <alignment horizontal="right" vertical="center" wrapText="1"/>
    </xf>
    <xf numFmtId="9" fontId="5" fillId="0" borderId="14" xfId="2" applyBorder="1" applyAlignment="1">
      <alignment horizontal="right" vertical="center" wrapText="1"/>
    </xf>
    <xf numFmtId="164" fontId="5" fillId="0" borderId="14" xfId="1" applyNumberFormat="1" applyBorder="1" applyAlignment="1">
      <alignment horizontal="right" vertical="center" wrapText="1"/>
    </xf>
    <xf numFmtId="9" fontId="5" fillId="6" borderId="14" xfId="2" applyFill="1" applyBorder="1" applyAlignment="1">
      <alignment horizontal="right" vertical="center" wrapText="1"/>
    </xf>
    <xf numFmtId="164" fontId="5" fillId="0" borderId="14" xfId="2" applyNumberFormat="1" applyBorder="1" applyAlignment="1">
      <alignment horizontal="right" vertical="center" wrapText="1"/>
    </xf>
    <xf numFmtId="164" fontId="5" fillId="0" borderId="15" xfId="2" applyNumberFormat="1" applyBorder="1" applyAlignment="1">
      <alignment horizontal="right" vertical="center" wrapText="1"/>
    </xf>
    <xf numFmtId="14" fontId="5" fillId="0" borderId="14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1" fillId="2" borderId="21" xfId="0" applyNumberFormat="1" applyFont="1" applyFill="1" applyBorder="1" applyAlignment="1">
      <alignment horizontal="center" vertical="center" wrapText="1"/>
    </xf>
    <xf numFmtId="0" fontId="0" fillId="0" borderId="18" xfId="0" applyBorder="1"/>
    <xf numFmtId="164" fontId="1" fillId="5" borderId="17" xfId="0" applyNumberFormat="1" applyFont="1" applyFill="1" applyBorder="1" applyAlignment="1">
      <alignment horizontal="left" vertical="center"/>
    </xf>
    <xf numFmtId="0" fontId="0" fillId="0" borderId="16" xfId="0" applyBorder="1"/>
    <xf numFmtId="164" fontId="4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</cellXfs>
  <cellStyles count="3">
    <cellStyle name="Komma" xfId="1" builtinId="3"/>
    <cellStyle name="Prozent" xfId="2" builtinId="5"/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E8" sqref="E8"/>
    </sheetView>
  </sheetViews>
  <sheetFormatPr baseColWidth="10" defaultColWidth="8.6640625" defaultRowHeight="14.4" x14ac:dyDescent="0.3"/>
  <cols>
    <col min="1" max="1" width="8" style="8" customWidth="1"/>
    <col min="2" max="2" width="26" style="8" customWidth="1"/>
    <col min="3" max="4" width="42" customWidth="1"/>
    <col min="5" max="5" width="12" style="8" customWidth="1"/>
    <col min="6" max="6" width="14" style="8" customWidth="1"/>
    <col min="7" max="7" width="24" style="8" customWidth="1"/>
    <col min="8" max="8" width="12" style="28" customWidth="1"/>
    <col min="9" max="9" width="12" customWidth="1"/>
    <col min="10" max="10" width="13" style="2" bestFit="1" customWidth="1"/>
    <col min="11" max="11" width="13" customWidth="1"/>
    <col min="12" max="12" width="24" style="8" customWidth="1"/>
    <col min="13" max="13" width="24" customWidth="1"/>
    <col min="14" max="14" width="8.6640625" style="8" customWidth="1"/>
    <col min="15" max="16384" width="8.6640625" style="8"/>
  </cols>
  <sheetData>
    <row r="1" spans="1:13" s="4" customFormat="1" ht="28.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s="5" customFormat="1" ht="15.75" customHeight="1" thickBot="1" x14ac:dyDescent="0.35">
      <c r="H2" s="26"/>
      <c r="I2" s="26"/>
      <c r="J2" s="1"/>
      <c r="K2" s="1"/>
    </row>
    <row r="3" spans="1:13" s="10" customFormat="1" ht="63.9" customHeight="1" thickBot="1" x14ac:dyDescent="0.35">
      <c r="A3" s="9" t="s">
        <v>159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27" t="s">
        <v>8</v>
      </c>
      <c r="I3" s="27" t="s">
        <v>9</v>
      </c>
      <c r="J3" s="3" t="s">
        <v>10</v>
      </c>
      <c r="K3" s="3" t="s">
        <v>11</v>
      </c>
      <c r="L3" s="6" t="s">
        <v>12</v>
      </c>
      <c r="M3" s="25" t="s">
        <v>13</v>
      </c>
    </row>
    <row r="4" spans="1:13" ht="48" customHeight="1" x14ac:dyDescent="0.3">
      <c r="A4" s="63" t="s">
        <v>14</v>
      </c>
      <c r="B4" s="64" t="s">
        <v>15</v>
      </c>
      <c r="C4" s="64" t="s">
        <v>16</v>
      </c>
      <c r="D4" s="64" t="s">
        <v>17</v>
      </c>
      <c r="E4" s="64" t="s">
        <v>18</v>
      </c>
      <c r="F4" s="64" t="s">
        <v>19</v>
      </c>
      <c r="G4" s="64" t="s">
        <v>20</v>
      </c>
      <c r="H4" s="65">
        <v>2</v>
      </c>
      <c r="I4" s="66" t="s">
        <v>159</v>
      </c>
      <c r="J4" s="67">
        <v>46164</v>
      </c>
      <c r="K4" s="67" t="s">
        <v>21</v>
      </c>
      <c r="L4" s="64" t="s">
        <v>22</v>
      </c>
      <c r="M4" s="68"/>
    </row>
    <row r="5" spans="1:13" ht="48" customHeight="1" x14ac:dyDescent="0.3">
      <c r="A5" s="63" t="s">
        <v>23</v>
      </c>
      <c r="B5" s="64" t="s">
        <v>24</v>
      </c>
      <c r="C5" s="64" t="s">
        <v>25</v>
      </c>
      <c r="D5" s="64" t="s">
        <v>26</v>
      </c>
      <c r="E5" s="64" t="s">
        <v>18</v>
      </c>
      <c r="F5" s="64" t="s">
        <v>27</v>
      </c>
      <c r="G5" s="64" t="s">
        <v>28</v>
      </c>
      <c r="H5" s="65">
        <v>1</v>
      </c>
      <c r="I5" s="66" t="s">
        <v>159</v>
      </c>
      <c r="J5" s="67">
        <v>46164</v>
      </c>
      <c r="K5" s="67" t="s">
        <v>14</v>
      </c>
      <c r="L5" s="64" t="s">
        <v>29</v>
      </c>
      <c r="M5" s="68"/>
    </row>
    <row r="6" spans="1:13" ht="48" customHeight="1" x14ac:dyDescent="0.3">
      <c r="A6" s="63" t="s">
        <v>29</v>
      </c>
      <c r="B6" s="64" t="s">
        <v>30</v>
      </c>
      <c r="C6" s="64" t="s">
        <v>31</v>
      </c>
      <c r="D6" s="64" t="s">
        <v>32</v>
      </c>
      <c r="E6" s="64" t="s">
        <v>18</v>
      </c>
      <c r="F6" s="64" t="s">
        <v>33</v>
      </c>
      <c r="G6" s="64" t="s">
        <v>34</v>
      </c>
      <c r="H6" s="65">
        <v>1</v>
      </c>
      <c r="I6" s="66" t="s">
        <v>159</v>
      </c>
      <c r="J6" s="67">
        <v>46164</v>
      </c>
      <c r="K6" s="67" t="s">
        <v>35</v>
      </c>
      <c r="L6" s="64" t="s">
        <v>36</v>
      </c>
      <c r="M6" s="68"/>
    </row>
    <row r="7" spans="1:13" ht="48" customHeight="1" x14ac:dyDescent="0.3">
      <c r="A7" s="63" t="s">
        <v>36</v>
      </c>
      <c r="B7" s="64" t="s">
        <v>37</v>
      </c>
      <c r="C7" s="64" t="s">
        <v>38</v>
      </c>
      <c r="D7" s="64" t="s">
        <v>39</v>
      </c>
      <c r="E7" s="64" t="s">
        <v>18</v>
      </c>
      <c r="F7" s="64" t="s">
        <v>40</v>
      </c>
      <c r="G7" s="64" t="s">
        <v>41</v>
      </c>
      <c r="H7" s="65">
        <v>1.5</v>
      </c>
      <c r="I7" s="66" t="s">
        <v>159</v>
      </c>
      <c r="J7" s="67">
        <v>46164</v>
      </c>
      <c r="K7" s="67" t="s">
        <v>22</v>
      </c>
      <c r="L7" s="64" t="s">
        <v>42</v>
      </c>
      <c r="M7" s="68"/>
    </row>
    <row r="8" spans="1:13" ht="48" customHeight="1" x14ac:dyDescent="0.3">
      <c r="A8" s="63" t="s">
        <v>43</v>
      </c>
      <c r="B8" s="64" t="s">
        <v>44</v>
      </c>
      <c r="C8" s="64" t="s">
        <v>45</v>
      </c>
      <c r="D8" s="64" t="s">
        <v>46</v>
      </c>
      <c r="E8" s="64" t="s">
        <v>18</v>
      </c>
      <c r="F8" s="64" t="s">
        <v>19</v>
      </c>
      <c r="G8" s="64" t="s">
        <v>47</v>
      </c>
      <c r="H8" s="65">
        <v>1</v>
      </c>
      <c r="I8" s="66" t="s">
        <v>159</v>
      </c>
      <c r="J8" s="67">
        <v>46171</v>
      </c>
      <c r="K8" s="67" t="s">
        <v>29</v>
      </c>
      <c r="L8" s="64" t="s">
        <v>48</v>
      </c>
      <c r="M8" s="68"/>
    </row>
    <row r="9" spans="1:13" ht="48" customHeight="1" x14ac:dyDescent="0.3">
      <c r="A9" s="63" t="s">
        <v>48</v>
      </c>
      <c r="B9" s="64" t="s">
        <v>49</v>
      </c>
      <c r="C9" s="64" t="s">
        <v>50</v>
      </c>
      <c r="D9" s="64" t="s">
        <v>51</v>
      </c>
      <c r="E9" s="64" t="s">
        <v>18</v>
      </c>
      <c r="F9" s="64" t="s">
        <v>33</v>
      </c>
      <c r="G9" s="64" t="s">
        <v>52</v>
      </c>
      <c r="H9" s="65">
        <v>1.5</v>
      </c>
      <c r="I9" s="66" t="s">
        <v>159</v>
      </c>
      <c r="J9" s="67">
        <v>46171</v>
      </c>
      <c r="K9" s="67" t="s">
        <v>43</v>
      </c>
      <c r="L9" s="64" t="s">
        <v>53</v>
      </c>
      <c r="M9" s="68"/>
    </row>
    <row r="10" spans="1:13" ht="48" customHeight="1" x14ac:dyDescent="0.3">
      <c r="A10" s="63" t="s">
        <v>54</v>
      </c>
      <c r="B10" s="64" t="s">
        <v>55</v>
      </c>
      <c r="C10" s="64" t="s">
        <v>56</v>
      </c>
      <c r="D10" s="64" t="s">
        <v>57</v>
      </c>
      <c r="E10" s="64" t="s">
        <v>18</v>
      </c>
      <c r="F10" s="64" t="s">
        <v>40</v>
      </c>
      <c r="G10" s="64" t="s">
        <v>47</v>
      </c>
      <c r="H10" s="65">
        <v>1.5</v>
      </c>
      <c r="I10" s="66" t="s">
        <v>159</v>
      </c>
      <c r="J10" s="67">
        <v>46171</v>
      </c>
      <c r="K10" s="67" t="s">
        <v>43</v>
      </c>
      <c r="L10" s="64" t="s">
        <v>58</v>
      </c>
      <c r="M10" s="68"/>
    </row>
    <row r="11" spans="1:13" ht="48" customHeight="1" x14ac:dyDescent="0.3">
      <c r="A11" s="63" t="s">
        <v>58</v>
      </c>
      <c r="B11" s="64" t="s">
        <v>59</v>
      </c>
      <c r="C11" s="64" t="s">
        <v>60</v>
      </c>
      <c r="D11" s="64" t="s">
        <v>61</v>
      </c>
      <c r="E11" s="64" t="s">
        <v>18</v>
      </c>
      <c r="F11" s="64" t="s">
        <v>33</v>
      </c>
      <c r="G11" s="64" t="s">
        <v>41</v>
      </c>
      <c r="H11" s="65">
        <v>1.5</v>
      </c>
      <c r="I11" s="66" t="s">
        <v>159</v>
      </c>
      <c r="J11" s="67">
        <v>46178</v>
      </c>
      <c r="K11" s="67" t="s">
        <v>54</v>
      </c>
      <c r="L11" s="64" t="s">
        <v>62</v>
      </c>
      <c r="M11" s="68"/>
    </row>
    <row r="12" spans="1:13" ht="48" customHeight="1" x14ac:dyDescent="0.3">
      <c r="A12" s="63" t="s">
        <v>63</v>
      </c>
      <c r="B12" s="64" t="s">
        <v>64</v>
      </c>
      <c r="C12" s="64" t="s">
        <v>65</v>
      </c>
      <c r="D12" s="64" t="s">
        <v>66</v>
      </c>
      <c r="E12" s="64" t="s">
        <v>18</v>
      </c>
      <c r="F12" s="64" t="s">
        <v>19</v>
      </c>
      <c r="G12" s="64" t="s">
        <v>47</v>
      </c>
      <c r="H12" s="65">
        <v>1.5</v>
      </c>
      <c r="I12" s="66" t="s">
        <v>159</v>
      </c>
      <c r="J12" s="67">
        <v>46171</v>
      </c>
      <c r="K12" s="67" t="s">
        <v>43</v>
      </c>
      <c r="L12" s="64" t="s">
        <v>67</v>
      </c>
      <c r="M12" s="68"/>
    </row>
    <row r="13" spans="1:13" ht="48" customHeight="1" x14ac:dyDescent="0.3">
      <c r="A13" s="63" t="s">
        <v>67</v>
      </c>
      <c r="B13" s="64" t="s">
        <v>68</v>
      </c>
      <c r="C13" s="64" t="s">
        <v>69</v>
      </c>
      <c r="D13" s="64" t="s">
        <v>70</v>
      </c>
      <c r="E13" s="64" t="s">
        <v>18</v>
      </c>
      <c r="F13" s="64" t="s">
        <v>27</v>
      </c>
      <c r="G13" s="64" t="s">
        <v>71</v>
      </c>
      <c r="H13" s="65">
        <v>2</v>
      </c>
      <c r="I13" s="66" t="s">
        <v>159</v>
      </c>
      <c r="J13" s="67">
        <v>46178</v>
      </c>
      <c r="K13" s="67" t="s">
        <v>72</v>
      </c>
      <c r="L13" s="64" t="s">
        <v>73</v>
      </c>
      <c r="M13" s="68"/>
    </row>
    <row r="14" spans="1:13" ht="48" customHeight="1" x14ac:dyDescent="0.3">
      <c r="A14" s="63" t="s">
        <v>73</v>
      </c>
      <c r="B14" s="64" t="s">
        <v>74</v>
      </c>
      <c r="C14" s="64" t="s">
        <v>75</v>
      </c>
      <c r="D14" s="64" t="s">
        <v>76</v>
      </c>
      <c r="E14" s="64" t="s">
        <v>18</v>
      </c>
      <c r="F14" s="64" t="s">
        <v>33</v>
      </c>
      <c r="G14" s="64" t="s">
        <v>41</v>
      </c>
      <c r="H14" s="65">
        <v>1</v>
      </c>
      <c r="I14" s="66" t="s">
        <v>159</v>
      </c>
      <c r="J14" s="67">
        <v>46178</v>
      </c>
      <c r="K14" s="67" t="s">
        <v>67</v>
      </c>
      <c r="L14" s="64" t="s">
        <v>77</v>
      </c>
      <c r="M14" s="68"/>
    </row>
    <row r="15" spans="1:13" ht="48" customHeight="1" x14ac:dyDescent="0.3">
      <c r="A15" s="63" t="s">
        <v>77</v>
      </c>
      <c r="B15" s="64" t="s">
        <v>78</v>
      </c>
      <c r="C15" s="64" t="s">
        <v>79</v>
      </c>
      <c r="D15" s="64" t="s">
        <v>80</v>
      </c>
      <c r="E15" s="64" t="s">
        <v>18</v>
      </c>
      <c r="F15" s="64" t="s">
        <v>40</v>
      </c>
      <c r="G15" s="64" t="s">
        <v>81</v>
      </c>
      <c r="H15" s="65">
        <v>2</v>
      </c>
      <c r="I15" s="66" t="s">
        <v>159</v>
      </c>
      <c r="J15" s="67">
        <v>46185</v>
      </c>
      <c r="K15" s="67" t="s">
        <v>73</v>
      </c>
      <c r="L15" s="64" t="s">
        <v>82</v>
      </c>
      <c r="M15" s="68"/>
    </row>
    <row r="16" spans="1:13" ht="48" customHeight="1" x14ac:dyDescent="0.3">
      <c r="A16" s="63" t="s">
        <v>83</v>
      </c>
      <c r="B16" s="64" t="s">
        <v>84</v>
      </c>
      <c r="C16" s="64" t="s">
        <v>85</v>
      </c>
      <c r="D16" s="64" t="s">
        <v>86</v>
      </c>
      <c r="E16" s="64" t="s">
        <v>18</v>
      </c>
      <c r="F16" s="64" t="s">
        <v>27</v>
      </c>
      <c r="G16" s="64" t="s">
        <v>87</v>
      </c>
      <c r="H16" s="65">
        <v>2</v>
      </c>
      <c r="I16" s="66" t="s">
        <v>159</v>
      </c>
      <c r="J16" s="67">
        <v>46164</v>
      </c>
      <c r="K16" s="67" t="s">
        <v>21</v>
      </c>
      <c r="L16" s="64" t="s">
        <v>88</v>
      </c>
      <c r="M16" s="68"/>
    </row>
    <row r="17" spans="1:13" ht="48" customHeight="1" x14ac:dyDescent="0.3">
      <c r="A17" s="63" t="s">
        <v>88</v>
      </c>
      <c r="B17" s="64" t="s">
        <v>89</v>
      </c>
      <c r="C17" s="64" t="s">
        <v>90</v>
      </c>
      <c r="D17" s="64" t="s">
        <v>91</v>
      </c>
      <c r="E17" s="64" t="s">
        <v>18</v>
      </c>
      <c r="F17" s="64" t="s">
        <v>27</v>
      </c>
      <c r="G17" s="64" t="s">
        <v>87</v>
      </c>
      <c r="H17" s="65">
        <v>1.5</v>
      </c>
      <c r="I17" s="66" t="s">
        <v>159</v>
      </c>
      <c r="J17" s="67">
        <v>46171</v>
      </c>
      <c r="K17" s="67" t="s">
        <v>83</v>
      </c>
      <c r="L17" s="64" t="s">
        <v>92</v>
      </c>
      <c r="M17" s="68"/>
    </row>
    <row r="18" spans="1:13" ht="48" customHeight="1" x14ac:dyDescent="0.3">
      <c r="A18" s="63" t="s">
        <v>92</v>
      </c>
      <c r="B18" s="64" t="s">
        <v>93</v>
      </c>
      <c r="C18" s="64" t="s">
        <v>94</v>
      </c>
      <c r="D18" s="64" t="s">
        <v>95</v>
      </c>
      <c r="E18" s="64" t="s">
        <v>18</v>
      </c>
      <c r="F18" s="64" t="s">
        <v>27</v>
      </c>
      <c r="G18" s="64" t="s">
        <v>96</v>
      </c>
      <c r="H18" s="65">
        <v>1</v>
      </c>
      <c r="I18" s="66" t="s">
        <v>159</v>
      </c>
      <c r="J18" s="67">
        <v>46178</v>
      </c>
      <c r="K18" s="67" t="s">
        <v>88</v>
      </c>
      <c r="L18" s="64" t="s">
        <v>97</v>
      </c>
      <c r="M18" s="68"/>
    </row>
    <row r="19" spans="1:13" ht="48" customHeight="1" x14ac:dyDescent="0.3">
      <c r="A19" s="63" t="s">
        <v>97</v>
      </c>
      <c r="B19" s="64" t="s">
        <v>98</v>
      </c>
      <c r="C19" s="64" t="s">
        <v>99</v>
      </c>
      <c r="D19" s="64" t="s">
        <v>100</v>
      </c>
      <c r="E19" s="64" t="s">
        <v>18</v>
      </c>
      <c r="F19" s="64" t="s">
        <v>33</v>
      </c>
      <c r="G19" s="64" t="s">
        <v>101</v>
      </c>
      <c r="H19" s="65">
        <v>2</v>
      </c>
      <c r="I19" s="66" t="s">
        <v>159</v>
      </c>
      <c r="J19" s="67">
        <v>46178</v>
      </c>
      <c r="K19" s="67" t="s">
        <v>92</v>
      </c>
      <c r="L19" s="64" t="s">
        <v>102</v>
      </c>
      <c r="M19" s="68"/>
    </row>
    <row r="20" spans="1:13" ht="48" customHeight="1" x14ac:dyDescent="0.3">
      <c r="A20" s="63" t="s">
        <v>102</v>
      </c>
      <c r="B20" s="64" t="s">
        <v>103</v>
      </c>
      <c r="C20" s="64" t="s">
        <v>104</v>
      </c>
      <c r="D20" s="64" t="s">
        <v>105</v>
      </c>
      <c r="E20" s="64" t="s">
        <v>18</v>
      </c>
      <c r="F20" s="64" t="s">
        <v>19</v>
      </c>
      <c r="G20" s="64" t="s">
        <v>106</v>
      </c>
      <c r="H20" s="65">
        <v>2</v>
      </c>
      <c r="I20" s="66" t="s">
        <v>159</v>
      </c>
      <c r="J20" s="67">
        <v>46185</v>
      </c>
      <c r="K20" s="67" t="s">
        <v>97</v>
      </c>
      <c r="L20" s="64" t="s">
        <v>107</v>
      </c>
      <c r="M20" s="68"/>
    </row>
    <row r="21" spans="1:13" ht="48" customHeight="1" x14ac:dyDescent="0.3">
      <c r="A21" s="63" t="s">
        <v>108</v>
      </c>
      <c r="B21" s="64" t="s">
        <v>109</v>
      </c>
      <c r="C21" s="64" t="s">
        <v>110</v>
      </c>
      <c r="D21" s="64" t="s">
        <v>111</v>
      </c>
      <c r="E21" s="64" t="s">
        <v>18</v>
      </c>
      <c r="F21" s="64" t="s">
        <v>40</v>
      </c>
      <c r="G21" s="64" t="s">
        <v>112</v>
      </c>
      <c r="H21" s="65">
        <v>1</v>
      </c>
      <c r="I21" s="66" t="s">
        <v>159</v>
      </c>
      <c r="J21" s="67">
        <v>46185</v>
      </c>
      <c r="K21" s="67" t="s">
        <v>35</v>
      </c>
      <c r="L21" s="64" t="s">
        <v>113</v>
      </c>
      <c r="M21" s="68"/>
    </row>
    <row r="22" spans="1:13" ht="48" customHeight="1" x14ac:dyDescent="0.3">
      <c r="A22" s="63" t="s">
        <v>114</v>
      </c>
      <c r="B22" s="64" t="s">
        <v>115</v>
      </c>
      <c r="C22" s="64" t="s">
        <v>116</v>
      </c>
      <c r="D22" s="64" t="s">
        <v>117</v>
      </c>
      <c r="E22" s="64" t="s">
        <v>18</v>
      </c>
      <c r="F22" s="64" t="s">
        <v>33</v>
      </c>
      <c r="G22" s="64" t="s">
        <v>112</v>
      </c>
      <c r="H22" s="65">
        <v>2</v>
      </c>
      <c r="I22" s="66" t="s">
        <v>159</v>
      </c>
      <c r="J22" s="67">
        <v>46185</v>
      </c>
      <c r="K22" s="67" t="s">
        <v>118</v>
      </c>
      <c r="L22" s="64" t="s">
        <v>113</v>
      </c>
      <c r="M22" s="68"/>
    </row>
    <row r="23" spans="1:13" ht="48" customHeight="1" x14ac:dyDescent="0.3">
      <c r="A23" s="63" t="s">
        <v>53</v>
      </c>
      <c r="B23" s="64" t="s">
        <v>119</v>
      </c>
      <c r="C23" s="64" t="s">
        <v>120</v>
      </c>
      <c r="D23" s="64" t="s">
        <v>121</v>
      </c>
      <c r="E23" s="64" t="s">
        <v>18</v>
      </c>
      <c r="F23" s="64" t="s">
        <v>19</v>
      </c>
      <c r="G23" s="64" t="s">
        <v>112</v>
      </c>
      <c r="H23" s="65">
        <v>1</v>
      </c>
      <c r="I23" s="66" t="s">
        <v>159</v>
      </c>
      <c r="J23" s="67">
        <v>46185</v>
      </c>
      <c r="K23" s="67" t="s">
        <v>122</v>
      </c>
      <c r="L23" s="64" t="s">
        <v>113</v>
      </c>
      <c r="M23" s="68"/>
    </row>
    <row r="24" spans="1:13" ht="48" customHeight="1" x14ac:dyDescent="0.3">
      <c r="A24" s="63" t="s">
        <v>62</v>
      </c>
      <c r="B24" s="64" t="s">
        <v>123</v>
      </c>
      <c r="C24" s="64" t="s">
        <v>124</v>
      </c>
      <c r="D24" s="64" t="s">
        <v>125</v>
      </c>
      <c r="E24" s="64" t="s">
        <v>18</v>
      </c>
      <c r="F24" s="64" t="s">
        <v>40</v>
      </c>
      <c r="G24" s="64" t="s">
        <v>112</v>
      </c>
      <c r="H24" s="65">
        <v>1</v>
      </c>
      <c r="I24" s="66" t="s">
        <v>159</v>
      </c>
      <c r="J24" s="67">
        <v>46185</v>
      </c>
      <c r="K24" s="67" t="s">
        <v>126</v>
      </c>
      <c r="L24" s="64" t="s">
        <v>113</v>
      </c>
      <c r="M24" s="68"/>
    </row>
    <row r="25" spans="1:13" ht="48" customHeight="1" x14ac:dyDescent="0.3">
      <c r="A25" s="63" t="s">
        <v>82</v>
      </c>
      <c r="B25" s="64" t="s">
        <v>127</v>
      </c>
      <c r="C25" s="64" t="s">
        <v>128</v>
      </c>
      <c r="D25" s="64" t="s">
        <v>129</v>
      </c>
      <c r="E25" s="64" t="s">
        <v>18</v>
      </c>
      <c r="F25" s="64" t="s">
        <v>40</v>
      </c>
      <c r="G25" s="64" t="s">
        <v>112</v>
      </c>
      <c r="H25" s="65">
        <v>2</v>
      </c>
      <c r="I25" s="66" t="s">
        <v>159</v>
      </c>
      <c r="J25" s="67">
        <v>46192</v>
      </c>
      <c r="K25" s="67" t="s">
        <v>130</v>
      </c>
      <c r="L25" s="64" t="s">
        <v>113</v>
      </c>
      <c r="M25" s="68"/>
    </row>
    <row r="26" spans="1:13" ht="48" customHeight="1" x14ac:dyDescent="0.3">
      <c r="A26" s="63" t="s">
        <v>113</v>
      </c>
      <c r="B26" s="64" t="s">
        <v>131</v>
      </c>
      <c r="C26" s="64" t="s">
        <v>132</v>
      </c>
      <c r="D26" s="64" t="s">
        <v>133</v>
      </c>
      <c r="E26" s="64" t="s">
        <v>18</v>
      </c>
      <c r="F26" s="64" t="s">
        <v>27</v>
      </c>
      <c r="G26" s="64" t="s">
        <v>34</v>
      </c>
      <c r="H26" s="65">
        <v>1.5</v>
      </c>
      <c r="I26" s="66" t="s">
        <v>159</v>
      </c>
      <c r="J26" s="67">
        <v>46192</v>
      </c>
      <c r="K26" s="67" t="s">
        <v>107</v>
      </c>
      <c r="L26" s="64" t="s">
        <v>134</v>
      </c>
      <c r="M26" s="68"/>
    </row>
    <row r="27" spans="1:13" ht="48" customHeight="1" x14ac:dyDescent="0.3">
      <c r="A27" s="63" t="s">
        <v>134</v>
      </c>
      <c r="B27" s="64" t="s">
        <v>135</v>
      </c>
      <c r="C27" s="64" t="s">
        <v>136</v>
      </c>
      <c r="D27" s="64" t="s">
        <v>137</v>
      </c>
      <c r="E27" s="64" t="s">
        <v>18</v>
      </c>
      <c r="F27" s="64" t="s">
        <v>19</v>
      </c>
      <c r="G27" s="64" t="s">
        <v>112</v>
      </c>
      <c r="H27" s="65">
        <v>1.5</v>
      </c>
      <c r="I27" s="66" t="s">
        <v>159</v>
      </c>
      <c r="J27" s="67">
        <v>46192</v>
      </c>
      <c r="K27" s="67" t="s">
        <v>113</v>
      </c>
      <c r="L27" s="64" t="s">
        <v>21</v>
      </c>
      <c r="M27" s="68"/>
    </row>
    <row r="28" spans="1:13" x14ac:dyDescent="0.3">
      <c r="A28" s="63"/>
      <c r="B28" s="64"/>
      <c r="C28" s="64"/>
      <c r="D28" s="64"/>
      <c r="E28" s="64"/>
      <c r="F28" s="64"/>
      <c r="G28" s="64"/>
      <c r="H28" s="69"/>
      <c r="I28" s="69"/>
      <c r="J28" s="70"/>
      <c r="K28" s="70"/>
      <c r="L28" s="64"/>
      <c r="M28" s="68"/>
    </row>
    <row r="29" spans="1:13" x14ac:dyDescent="0.3">
      <c r="A29" s="63"/>
      <c r="B29" s="64"/>
      <c r="C29" s="64"/>
      <c r="D29" s="64"/>
      <c r="E29" s="64"/>
      <c r="F29" s="64"/>
      <c r="G29" s="64"/>
      <c r="H29" s="69"/>
      <c r="I29" s="69"/>
      <c r="J29" s="70"/>
      <c r="K29" s="70"/>
      <c r="L29" s="64"/>
      <c r="M29" s="68"/>
    </row>
    <row r="30" spans="1:13" x14ac:dyDescent="0.3">
      <c r="A30" s="63"/>
      <c r="B30" s="64"/>
      <c r="C30" s="64"/>
      <c r="D30" s="64"/>
      <c r="E30" s="64"/>
      <c r="F30" s="64"/>
      <c r="G30" s="64"/>
      <c r="H30" s="69"/>
      <c r="I30" s="69"/>
      <c r="J30" s="70"/>
      <c r="K30" s="70"/>
      <c r="L30" s="64"/>
      <c r="M30" s="68"/>
    </row>
    <row r="31" spans="1:13" x14ac:dyDescent="0.3">
      <c r="A31" s="63"/>
      <c r="B31" s="64"/>
      <c r="C31" s="64"/>
      <c r="D31" s="64"/>
      <c r="E31" s="64"/>
      <c r="F31" s="64"/>
      <c r="G31" s="64"/>
      <c r="H31" s="69"/>
      <c r="I31" s="69"/>
      <c r="J31" s="70"/>
      <c r="K31" s="70"/>
      <c r="L31" s="64"/>
      <c r="M31" s="68"/>
    </row>
    <row r="32" spans="1:13" x14ac:dyDescent="0.3">
      <c r="A32" s="63"/>
      <c r="B32" s="64"/>
      <c r="C32" s="64"/>
      <c r="D32" s="64"/>
      <c r="E32" s="64"/>
      <c r="F32" s="64"/>
      <c r="G32" s="64"/>
      <c r="H32" s="69"/>
      <c r="I32" s="69"/>
      <c r="J32" s="70"/>
      <c r="K32" s="70"/>
      <c r="L32" s="64"/>
      <c r="M32" s="68"/>
    </row>
    <row r="33" spans="1:13" x14ac:dyDescent="0.3">
      <c r="A33" s="63"/>
      <c r="B33" s="64"/>
      <c r="C33" s="64"/>
      <c r="D33" s="64"/>
      <c r="E33" s="64"/>
      <c r="F33" s="64"/>
      <c r="G33" s="64"/>
      <c r="H33" s="69"/>
      <c r="I33" s="69"/>
      <c r="J33" s="70"/>
      <c r="K33" s="70"/>
      <c r="L33" s="64"/>
      <c r="M33" s="68"/>
    </row>
    <row r="34" spans="1:13" x14ac:dyDescent="0.3">
      <c r="A34" s="63"/>
      <c r="B34" s="64"/>
      <c r="C34" s="64"/>
      <c r="D34" s="64"/>
      <c r="E34" s="64"/>
      <c r="F34" s="64"/>
      <c r="G34" s="64"/>
      <c r="H34" s="69"/>
      <c r="I34" s="69"/>
      <c r="J34" s="70"/>
      <c r="K34" s="70"/>
      <c r="L34" s="64"/>
      <c r="M34" s="68"/>
    </row>
    <row r="35" spans="1:13" x14ac:dyDescent="0.3">
      <c r="A35" s="63"/>
      <c r="B35" s="64"/>
      <c r="C35" s="64"/>
      <c r="D35" s="64"/>
      <c r="E35" s="64"/>
      <c r="F35" s="64"/>
      <c r="G35" s="64"/>
      <c r="H35" s="69"/>
      <c r="I35" s="69"/>
      <c r="J35" s="70"/>
      <c r="K35" s="70"/>
      <c r="L35" s="64"/>
      <c r="M35" s="68"/>
    </row>
    <row r="36" spans="1:13" x14ac:dyDescent="0.3">
      <c r="A36" s="63"/>
      <c r="B36" s="64"/>
      <c r="C36" s="64"/>
      <c r="D36" s="64"/>
      <c r="E36" s="64"/>
      <c r="F36" s="64"/>
      <c r="G36" s="64"/>
      <c r="H36" s="69"/>
      <c r="I36" s="69"/>
      <c r="J36" s="70"/>
      <c r="K36" s="70"/>
      <c r="L36" s="64"/>
      <c r="M36" s="68"/>
    </row>
    <row r="37" spans="1:13" x14ac:dyDescent="0.3">
      <c r="A37" s="63"/>
      <c r="B37" s="64"/>
      <c r="C37" s="64"/>
      <c r="D37" s="64"/>
      <c r="E37" s="64"/>
      <c r="F37" s="64"/>
      <c r="G37" s="64"/>
      <c r="H37" s="69"/>
      <c r="I37" s="69"/>
      <c r="J37" s="70"/>
      <c r="K37" s="70"/>
      <c r="L37" s="64"/>
      <c r="M37" s="68"/>
    </row>
    <row r="38" spans="1:13" x14ac:dyDescent="0.3">
      <c r="A38" s="63"/>
      <c r="B38" s="64"/>
      <c r="C38" s="64"/>
      <c r="D38" s="64"/>
      <c r="E38" s="64"/>
      <c r="F38" s="64"/>
      <c r="G38" s="64"/>
      <c r="H38" s="69"/>
      <c r="I38" s="69"/>
      <c r="J38" s="70"/>
      <c r="K38" s="70"/>
      <c r="L38" s="64"/>
      <c r="M38" s="68"/>
    </row>
    <row r="39" spans="1:13" x14ac:dyDescent="0.3">
      <c r="A39" s="63"/>
      <c r="B39" s="64"/>
      <c r="C39" s="64"/>
      <c r="D39" s="64"/>
      <c r="E39" s="64"/>
      <c r="F39" s="64"/>
      <c r="G39" s="64"/>
      <c r="H39" s="69"/>
      <c r="I39" s="69"/>
      <c r="J39" s="70"/>
      <c r="K39" s="70"/>
      <c r="L39" s="64"/>
      <c r="M39" s="68"/>
    </row>
    <row r="40" spans="1:13" x14ac:dyDescent="0.3">
      <c r="A40" s="63"/>
      <c r="B40" s="64"/>
      <c r="C40" s="64"/>
      <c r="D40" s="64"/>
      <c r="E40" s="64"/>
      <c r="F40" s="64"/>
      <c r="G40" s="64"/>
      <c r="H40" s="69"/>
      <c r="I40" s="69"/>
      <c r="J40" s="70"/>
      <c r="K40" s="70"/>
      <c r="L40" s="64"/>
      <c r="M40" s="68"/>
    </row>
    <row r="41" spans="1:13" x14ac:dyDescent="0.3">
      <c r="A41" s="63"/>
      <c r="B41" s="64"/>
      <c r="C41" s="64"/>
      <c r="D41" s="64"/>
      <c r="E41" s="64"/>
      <c r="F41" s="64"/>
      <c r="G41" s="64"/>
      <c r="H41" s="69"/>
      <c r="I41" s="69"/>
      <c r="J41" s="70"/>
      <c r="K41" s="70"/>
      <c r="L41" s="64"/>
      <c r="M41" s="68"/>
    </row>
    <row r="42" spans="1:13" x14ac:dyDescent="0.3">
      <c r="A42" s="63"/>
      <c r="B42" s="64"/>
      <c r="C42" s="64"/>
      <c r="D42" s="64"/>
      <c r="E42" s="64"/>
      <c r="F42" s="64"/>
      <c r="G42" s="64"/>
      <c r="H42" s="69"/>
      <c r="I42" s="69"/>
      <c r="J42" s="70"/>
      <c r="K42" s="70"/>
      <c r="L42" s="64"/>
      <c r="M42" s="68"/>
    </row>
    <row r="43" spans="1:13" x14ac:dyDescent="0.3">
      <c r="A43" s="63"/>
      <c r="B43" s="64"/>
      <c r="C43" s="64"/>
      <c r="D43" s="64"/>
      <c r="E43" s="64"/>
      <c r="F43" s="64"/>
      <c r="G43" s="64"/>
      <c r="H43" s="69"/>
      <c r="I43" s="69"/>
      <c r="J43" s="70"/>
      <c r="K43" s="70"/>
      <c r="L43" s="64"/>
      <c r="M43" s="68"/>
    </row>
    <row r="44" spans="1:13" x14ac:dyDescent="0.3">
      <c r="A44" s="63"/>
      <c r="B44" s="64"/>
      <c r="C44" s="64"/>
      <c r="D44" s="64"/>
      <c r="E44" s="64"/>
      <c r="F44" s="64"/>
      <c r="G44" s="64"/>
      <c r="H44" s="69"/>
      <c r="I44" s="69"/>
      <c r="J44" s="70"/>
      <c r="K44" s="70"/>
      <c r="L44" s="64"/>
      <c r="M44" s="68"/>
    </row>
    <row r="45" spans="1:13" x14ac:dyDescent="0.3">
      <c r="A45" s="63"/>
      <c r="B45" s="64"/>
      <c r="C45" s="64"/>
      <c r="D45" s="64"/>
      <c r="E45" s="64"/>
      <c r="F45" s="64"/>
      <c r="G45" s="64"/>
      <c r="H45" s="69"/>
      <c r="I45" s="69"/>
      <c r="J45" s="70"/>
      <c r="K45" s="70"/>
      <c r="L45" s="64"/>
      <c r="M45" s="68"/>
    </row>
    <row r="46" spans="1:13" x14ac:dyDescent="0.3">
      <c r="A46" s="63"/>
      <c r="B46" s="64"/>
      <c r="C46" s="64"/>
      <c r="D46" s="64"/>
      <c r="E46" s="64"/>
      <c r="F46" s="64"/>
      <c r="G46" s="64"/>
      <c r="H46" s="69"/>
      <c r="I46" s="69"/>
      <c r="J46" s="70"/>
      <c r="K46" s="70"/>
      <c r="L46" s="64"/>
      <c r="M46" s="68"/>
    </row>
    <row r="47" spans="1:13" x14ac:dyDescent="0.3">
      <c r="A47" s="63"/>
      <c r="B47" s="64"/>
      <c r="C47" s="64"/>
      <c r="D47" s="64"/>
      <c r="E47" s="64"/>
      <c r="F47" s="64"/>
      <c r="G47" s="64"/>
      <c r="H47" s="69"/>
      <c r="I47" s="69"/>
      <c r="J47" s="70"/>
      <c r="K47" s="70"/>
      <c r="L47" s="64"/>
      <c r="M47" s="68"/>
    </row>
    <row r="48" spans="1:13" x14ac:dyDescent="0.3">
      <c r="A48" s="63"/>
      <c r="B48" s="64"/>
      <c r="C48" s="64"/>
      <c r="D48" s="64"/>
      <c r="E48" s="64"/>
      <c r="F48" s="64"/>
      <c r="G48" s="64"/>
      <c r="H48" s="69"/>
      <c r="I48" s="69"/>
      <c r="J48" s="70"/>
      <c r="K48" s="70"/>
      <c r="L48" s="64"/>
      <c r="M48" s="68"/>
    </row>
    <row r="49" spans="1:13" x14ac:dyDescent="0.3">
      <c r="A49" s="63"/>
      <c r="B49" s="64"/>
      <c r="C49" s="64"/>
      <c r="D49" s="64"/>
      <c r="E49" s="64"/>
      <c r="F49" s="64"/>
      <c r="G49" s="64"/>
      <c r="H49" s="69"/>
      <c r="I49" s="69"/>
      <c r="J49" s="70"/>
      <c r="K49" s="70"/>
      <c r="L49" s="64"/>
      <c r="M49" s="68"/>
    </row>
    <row r="50" spans="1:13" x14ac:dyDescent="0.3">
      <c r="A50" s="63"/>
      <c r="B50" s="64"/>
      <c r="C50" s="64"/>
      <c r="D50" s="64"/>
      <c r="E50" s="64"/>
      <c r="F50" s="64"/>
      <c r="G50" s="64"/>
      <c r="H50" s="69"/>
      <c r="I50" s="69"/>
      <c r="J50" s="70"/>
      <c r="K50" s="70"/>
      <c r="L50" s="64"/>
      <c r="M50" s="68"/>
    </row>
    <row r="51" spans="1:13" x14ac:dyDescent="0.3">
      <c r="A51" s="63"/>
      <c r="B51" s="64"/>
      <c r="C51" s="64"/>
      <c r="D51" s="64"/>
      <c r="E51" s="64"/>
      <c r="F51" s="64"/>
      <c r="G51" s="64"/>
      <c r="H51" s="69"/>
      <c r="I51" s="69"/>
      <c r="J51" s="70"/>
      <c r="K51" s="70"/>
      <c r="L51" s="64"/>
      <c r="M51" s="68"/>
    </row>
    <row r="52" spans="1:13" x14ac:dyDescent="0.3">
      <c r="A52" s="63"/>
      <c r="B52" s="64"/>
      <c r="C52" s="64"/>
      <c r="D52" s="64"/>
      <c r="E52" s="64"/>
      <c r="F52" s="64"/>
      <c r="G52" s="64"/>
      <c r="H52" s="69"/>
      <c r="I52" s="69"/>
      <c r="J52" s="70"/>
      <c r="K52" s="70"/>
      <c r="L52" s="64"/>
      <c r="M52" s="68"/>
    </row>
    <row r="53" spans="1:13" x14ac:dyDescent="0.3">
      <c r="A53" s="63"/>
      <c r="B53" s="64"/>
      <c r="C53" s="64"/>
      <c r="D53" s="64"/>
      <c r="E53" s="64"/>
      <c r="F53" s="64"/>
      <c r="G53" s="64"/>
      <c r="H53" s="69"/>
      <c r="I53" s="69"/>
      <c r="J53" s="70"/>
      <c r="K53" s="70"/>
      <c r="L53" s="64"/>
      <c r="M53" s="68"/>
    </row>
    <row r="54" spans="1:13" x14ac:dyDescent="0.3">
      <c r="A54" s="63"/>
      <c r="B54" s="64"/>
      <c r="C54" s="64"/>
      <c r="D54" s="64"/>
      <c r="E54" s="64"/>
      <c r="F54" s="64"/>
      <c r="G54" s="64"/>
      <c r="H54" s="69"/>
      <c r="I54" s="69"/>
      <c r="J54" s="70"/>
      <c r="K54" s="70"/>
      <c r="L54" s="64"/>
      <c r="M54" s="68"/>
    </row>
    <row r="55" spans="1:13" x14ac:dyDescent="0.3">
      <c r="A55" s="63"/>
      <c r="B55" s="64"/>
      <c r="C55" s="64"/>
      <c r="D55" s="64"/>
      <c r="E55" s="64"/>
      <c r="F55" s="64"/>
      <c r="G55" s="64"/>
      <c r="H55" s="69"/>
      <c r="I55" s="69"/>
      <c r="J55" s="70"/>
      <c r="K55" s="70"/>
      <c r="L55" s="64"/>
      <c r="M55" s="68"/>
    </row>
    <row r="56" spans="1:13" x14ac:dyDescent="0.3">
      <c r="A56" s="63"/>
      <c r="B56" s="64"/>
      <c r="C56" s="64"/>
      <c r="D56" s="64"/>
      <c r="E56" s="64"/>
      <c r="F56" s="64"/>
      <c r="G56" s="64"/>
      <c r="H56" s="69"/>
      <c r="I56" s="69"/>
      <c r="J56" s="70"/>
      <c r="K56" s="70"/>
      <c r="L56" s="64"/>
      <c r="M56" s="68"/>
    </row>
    <row r="57" spans="1:13" x14ac:dyDescent="0.3">
      <c r="A57" s="63"/>
      <c r="B57" s="64"/>
      <c r="C57" s="64"/>
      <c r="D57" s="64"/>
      <c r="E57" s="64"/>
      <c r="F57" s="64"/>
      <c r="G57" s="64"/>
      <c r="H57" s="69"/>
      <c r="I57" s="69"/>
      <c r="J57" s="70"/>
      <c r="K57" s="70"/>
      <c r="L57" s="64"/>
      <c r="M57" s="68"/>
    </row>
    <row r="58" spans="1:13" x14ac:dyDescent="0.3">
      <c r="A58" s="63"/>
      <c r="B58" s="64"/>
      <c r="C58" s="64"/>
      <c r="D58" s="64"/>
      <c r="E58" s="64"/>
      <c r="F58" s="64"/>
      <c r="G58" s="64"/>
      <c r="H58" s="69"/>
      <c r="I58" s="69"/>
      <c r="J58" s="70"/>
      <c r="K58" s="70"/>
      <c r="L58" s="64"/>
      <c r="M58" s="68"/>
    </row>
    <row r="59" spans="1:13" x14ac:dyDescent="0.3">
      <c r="A59" s="63"/>
      <c r="B59" s="64"/>
      <c r="C59" s="64"/>
      <c r="D59" s="64"/>
      <c r="E59" s="64"/>
      <c r="F59" s="64"/>
      <c r="G59" s="64"/>
      <c r="H59" s="69"/>
      <c r="I59" s="69"/>
      <c r="J59" s="70"/>
      <c r="K59" s="70"/>
      <c r="L59" s="64"/>
      <c r="M59" s="68"/>
    </row>
    <row r="60" spans="1:13" x14ac:dyDescent="0.3">
      <c r="A60" s="63"/>
      <c r="B60" s="64"/>
      <c r="C60" s="64"/>
      <c r="D60" s="64"/>
      <c r="E60" s="64"/>
      <c r="F60" s="64"/>
      <c r="G60" s="64"/>
      <c r="H60" s="69"/>
      <c r="I60" s="69"/>
      <c r="J60" s="70"/>
      <c r="K60" s="70"/>
      <c r="L60" s="64"/>
      <c r="M60" s="68"/>
    </row>
    <row r="61" spans="1:13" x14ac:dyDescent="0.3">
      <c r="A61" s="63"/>
      <c r="B61" s="64"/>
      <c r="C61" s="64"/>
      <c r="D61" s="64"/>
      <c r="E61" s="64"/>
      <c r="F61" s="64"/>
      <c r="G61" s="64"/>
      <c r="H61" s="69"/>
      <c r="I61" s="69"/>
      <c r="J61" s="70"/>
      <c r="K61" s="70"/>
      <c r="L61" s="64"/>
      <c r="M61" s="68"/>
    </row>
    <row r="62" spans="1:13" x14ac:dyDescent="0.3">
      <c r="A62" s="63"/>
      <c r="B62" s="64"/>
      <c r="C62" s="64"/>
      <c r="D62" s="64"/>
      <c r="E62" s="64"/>
      <c r="F62" s="64"/>
      <c r="G62" s="64"/>
      <c r="H62" s="69"/>
      <c r="I62" s="69"/>
      <c r="J62" s="70"/>
      <c r="K62" s="70"/>
      <c r="L62" s="64"/>
      <c r="M62" s="68"/>
    </row>
    <row r="63" spans="1:13" x14ac:dyDescent="0.3">
      <c r="A63" s="63"/>
      <c r="B63" s="64"/>
      <c r="C63" s="64"/>
      <c r="D63" s="64"/>
      <c r="E63" s="64"/>
      <c r="F63" s="64"/>
      <c r="G63" s="64"/>
      <c r="H63" s="69"/>
      <c r="I63" s="69"/>
      <c r="J63" s="70"/>
      <c r="K63" s="70"/>
      <c r="L63" s="64"/>
      <c r="M63" s="68"/>
    </row>
    <row r="64" spans="1:13" x14ac:dyDescent="0.3">
      <c r="A64" s="63"/>
      <c r="B64" s="64"/>
      <c r="C64" s="64"/>
      <c r="D64" s="64"/>
      <c r="E64" s="64"/>
      <c r="F64" s="64"/>
      <c r="G64" s="64"/>
      <c r="H64" s="69"/>
      <c r="I64" s="69"/>
      <c r="J64" s="70"/>
      <c r="K64" s="70"/>
      <c r="L64" s="64"/>
      <c r="M64" s="68"/>
    </row>
    <row r="65" spans="1:13" x14ac:dyDescent="0.3">
      <c r="A65" s="63"/>
      <c r="B65" s="64"/>
      <c r="C65" s="64"/>
      <c r="D65" s="64"/>
      <c r="E65" s="64"/>
      <c r="F65" s="64"/>
      <c r="G65" s="64"/>
      <c r="H65" s="69"/>
      <c r="I65" s="69"/>
      <c r="J65" s="70"/>
      <c r="K65" s="70"/>
      <c r="L65" s="64"/>
      <c r="M65" s="68"/>
    </row>
    <row r="66" spans="1:13" x14ac:dyDescent="0.3">
      <c r="A66" s="63"/>
      <c r="B66" s="64"/>
      <c r="C66" s="64"/>
      <c r="D66" s="64"/>
      <c r="E66" s="64"/>
      <c r="F66" s="64"/>
      <c r="G66" s="64"/>
      <c r="H66" s="69"/>
      <c r="I66" s="69"/>
      <c r="J66" s="70"/>
      <c r="K66" s="70"/>
      <c r="L66" s="64"/>
      <c r="M66" s="68"/>
    </row>
    <row r="67" spans="1:13" x14ac:dyDescent="0.3">
      <c r="A67" s="63"/>
      <c r="B67" s="64"/>
      <c r="C67" s="64"/>
      <c r="D67" s="64"/>
      <c r="E67" s="64"/>
      <c r="F67" s="64"/>
      <c r="G67" s="64"/>
      <c r="H67" s="69"/>
      <c r="I67" s="69"/>
      <c r="J67" s="70"/>
      <c r="K67" s="70"/>
      <c r="L67" s="64"/>
      <c r="M67" s="68"/>
    </row>
    <row r="68" spans="1:13" x14ac:dyDescent="0.3">
      <c r="A68" s="63"/>
      <c r="B68" s="64"/>
      <c r="C68" s="64"/>
      <c r="D68" s="64"/>
      <c r="E68" s="64"/>
      <c r="F68" s="64"/>
      <c r="G68" s="64"/>
      <c r="H68" s="69"/>
      <c r="I68" s="69"/>
      <c r="J68" s="70"/>
      <c r="K68" s="70"/>
      <c r="L68" s="64"/>
      <c r="M68" s="68"/>
    </row>
    <row r="69" spans="1:13" x14ac:dyDescent="0.3">
      <c r="A69" s="63"/>
      <c r="B69" s="64"/>
      <c r="C69" s="64"/>
      <c r="D69" s="64"/>
      <c r="E69" s="64"/>
      <c r="F69" s="64"/>
      <c r="G69" s="64"/>
      <c r="H69" s="69"/>
      <c r="I69" s="69"/>
      <c r="J69" s="70"/>
      <c r="K69" s="70"/>
      <c r="L69" s="64"/>
      <c r="M69" s="68"/>
    </row>
    <row r="70" spans="1:13" x14ac:dyDescent="0.3">
      <c r="A70" s="63"/>
      <c r="B70" s="64"/>
      <c r="C70" s="64"/>
      <c r="D70" s="64"/>
      <c r="E70" s="64"/>
      <c r="F70" s="64"/>
      <c r="G70" s="64"/>
      <c r="H70" s="69"/>
      <c r="I70" s="69"/>
      <c r="J70" s="70"/>
      <c r="K70" s="70"/>
      <c r="L70" s="64"/>
      <c r="M70" s="68"/>
    </row>
    <row r="71" spans="1:13" x14ac:dyDescent="0.3">
      <c r="A71" s="63"/>
      <c r="B71" s="64"/>
      <c r="C71" s="64"/>
      <c r="D71" s="64"/>
      <c r="E71" s="64"/>
      <c r="F71" s="64"/>
      <c r="G71" s="64"/>
      <c r="H71" s="69"/>
      <c r="I71" s="69"/>
      <c r="J71" s="70"/>
      <c r="K71" s="70"/>
      <c r="L71" s="64"/>
      <c r="M71" s="68"/>
    </row>
    <row r="72" spans="1:13" x14ac:dyDescent="0.3">
      <c r="A72" s="63"/>
      <c r="B72" s="64"/>
      <c r="C72" s="64"/>
      <c r="D72" s="64"/>
      <c r="E72" s="64"/>
      <c r="F72" s="64"/>
      <c r="G72" s="64"/>
      <c r="H72" s="69"/>
      <c r="I72" s="69"/>
      <c r="J72" s="70"/>
      <c r="K72" s="70"/>
      <c r="L72" s="64"/>
      <c r="M72" s="68"/>
    </row>
    <row r="73" spans="1:13" x14ac:dyDescent="0.3">
      <c r="A73" s="63"/>
      <c r="B73" s="64"/>
      <c r="C73" s="64"/>
      <c r="D73" s="64"/>
      <c r="E73" s="64"/>
      <c r="F73" s="64"/>
      <c r="G73" s="64"/>
      <c r="H73" s="69"/>
      <c r="I73" s="69"/>
      <c r="J73" s="70"/>
      <c r="K73" s="70"/>
      <c r="L73" s="64"/>
      <c r="M73" s="68"/>
    </row>
    <row r="74" spans="1:13" x14ac:dyDescent="0.3">
      <c r="A74" s="63"/>
      <c r="B74" s="64"/>
      <c r="C74" s="64"/>
      <c r="D74" s="64"/>
      <c r="E74" s="64"/>
      <c r="F74" s="64"/>
      <c r="G74" s="64"/>
      <c r="H74" s="69"/>
      <c r="I74" s="69"/>
      <c r="J74" s="70"/>
      <c r="K74" s="70"/>
      <c r="L74" s="64"/>
      <c r="M74" s="68"/>
    </row>
    <row r="75" spans="1:13" x14ac:dyDescent="0.3">
      <c r="A75" s="63"/>
      <c r="B75" s="64"/>
      <c r="C75" s="64"/>
      <c r="D75" s="64"/>
      <c r="E75" s="64"/>
      <c r="F75" s="64"/>
      <c r="G75" s="64"/>
      <c r="H75" s="69"/>
      <c r="I75" s="69"/>
      <c r="J75" s="70"/>
      <c r="K75" s="70"/>
      <c r="L75" s="64"/>
      <c r="M75" s="68"/>
    </row>
    <row r="76" spans="1:13" x14ac:dyDescent="0.3">
      <c r="A76" s="63"/>
      <c r="B76" s="64"/>
      <c r="C76" s="64"/>
      <c r="D76" s="64"/>
      <c r="E76" s="64"/>
      <c r="F76" s="64"/>
      <c r="G76" s="64"/>
      <c r="H76" s="69"/>
      <c r="I76" s="69"/>
      <c r="J76" s="70"/>
      <c r="K76" s="70"/>
      <c r="L76" s="64"/>
      <c r="M76" s="68"/>
    </row>
    <row r="77" spans="1:13" x14ac:dyDescent="0.3">
      <c r="A77" s="63"/>
      <c r="B77" s="64"/>
      <c r="C77" s="64"/>
      <c r="D77" s="64"/>
      <c r="E77" s="64"/>
      <c r="F77" s="64"/>
      <c r="G77" s="64"/>
      <c r="H77" s="69"/>
      <c r="I77" s="69"/>
      <c r="J77" s="70"/>
      <c r="K77" s="70"/>
      <c r="L77" s="64"/>
      <c r="M77" s="68"/>
    </row>
    <row r="78" spans="1:13" x14ac:dyDescent="0.3">
      <c r="A78" s="63"/>
      <c r="B78" s="64"/>
      <c r="C78" s="64"/>
      <c r="D78" s="64"/>
      <c r="E78" s="64"/>
      <c r="F78" s="64"/>
      <c r="G78" s="64"/>
      <c r="H78" s="69"/>
      <c r="I78" s="69"/>
      <c r="J78" s="70"/>
      <c r="K78" s="70"/>
      <c r="L78" s="64"/>
      <c r="M78" s="68"/>
    </row>
    <row r="79" spans="1:13" x14ac:dyDescent="0.3">
      <c r="A79" s="63"/>
      <c r="B79" s="64"/>
      <c r="C79" s="64"/>
      <c r="D79" s="64"/>
      <c r="E79" s="64"/>
      <c r="F79" s="64"/>
      <c r="G79" s="64"/>
      <c r="H79" s="69"/>
      <c r="I79" s="69"/>
      <c r="J79" s="70"/>
      <c r="K79" s="70"/>
      <c r="L79" s="64"/>
      <c r="M79" s="68"/>
    </row>
    <row r="80" spans="1:13" x14ac:dyDescent="0.3">
      <c r="A80" s="63"/>
      <c r="B80" s="64"/>
      <c r="C80" s="64"/>
      <c r="D80" s="64"/>
      <c r="E80" s="64"/>
      <c r="F80" s="64"/>
      <c r="G80" s="64"/>
      <c r="H80" s="69"/>
      <c r="I80" s="69"/>
      <c r="J80" s="70"/>
      <c r="K80" s="70"/>
      <c r="L80" s="64"/>
      <c r="M80" s="68"/>
    </row>
    <row r="81" spans="1:13" x14ac:dyDescent="0.3">
      <c r="A81" s="63"/>
      <c r="B81" s="64"/>
      <c r="C81" s="64"/>
      <c r="D81" s="64"/>
      <c r="E81" s="64"/>
      <c r="F81" s="64"/>
      <c r="G81" s="64"/>
      <c r="H81" s="69"/>
      <c r="I81" s="69"/>
      <c r="J81" s="70"/>
      <c r="K81" s="70"/>
      <c r="L81" s="64"/>
      <c r="M81" s="68"/>
    </row>
    <row r="82" spans="1:13" x14ac:dyDescent="0.3">
      <c r="A82" s="63"/>
      <c r="B82" s="64"/>
      <c r="C82" s="64"/>
      <c r="D82" s="64"/>
      <c r="E82" s="64"/>
      <c r="F82" s="64"/>
      <c r="G82" s="64"/>
      <c r="H82" s="69"/>
      <c r="I82" s="69"/>
      <c r="J82" s="70"/>
      <c r="K82" s="70"/>
      <c r="L82" s="64"/>
      <c r="M82" s="68"/>
    </row>
    <row r="83" spans="1:13" x14ac:dyDescent="0.3">
      <c r="A83" s="63"/>
      <c r="B83" s="64"/>
      <c r="C83" s="64"/>
      <c r="D83" s="64"/>
      <c r="E83" s="64"/>
      <c r="F83" s="64"/>
      <c r="G83" s="64"/>
      <c r="H83" s="69"/>
      <c r="I83" s="69"/>
      <c r="J83" s="70"/>
      <c r="K83" s="70"/>
      <c r="L83" s="64"/>
      <c r="M83" s="68"/>
    </row>
    <row r="84" spans="1:13" x14ac:dyDescent="0.3">
      <c r="A84" s="63"/>
      <c r="B84" s="64"/>
      <c r="C84" s="64"/>
      <c r="D84" s="64"/>
      <c r="E84" s="64"/>
      <c r="F84" s="64"/>
      <c r="G84" s="64"/>
      <c r="H84" s="69"/>
      <c r="I84" s="69"/>
      <c r="J84" s="70"/>
      <c r="K84" s="70"/>
      <c r="L84" s="64"/>
      <c r="M84" s="68"/>
    </row>
    <row r="85" spans="1:13" x14ac:dyDescent="0.3">
      <c r="A85" s="63"/>
      <c r="B85" s="64"/>
      <c r="C85" s="64"/>
      <c r="D85" s="64"/>
      <c r="E85" s="64"/>
      <c r="F85" s="64"/>
      <c r="G85" s="64"/>
      <c r="H85" s="69"/>
      <c r="I85" s="69"/>
      <c r="J85" s="70"/>
      <c r="K85" s="70"/>
      <c r="L85" s="64"/>
      <c r="M85" s="68"/>
    </row>
    <row r="86" spans="1:13" x14ac:dyDescent="0.3">
      <c r="A86" s="63"/>
      <c r="B86" s="64"/>
      <c r="C86" s="64"/>
      <c r="D86" s="64"/>
      <c r="E86" s="64"/>
      <c r="F86" s="64"/>
      <c r="G86" s="64"/>
      <c r="H86" s="69"/>
      <c r="I86" s="69"/>
      <c r="J86" s="70"/>
      <c r="K86" s="70"/>
      <c r="L86" s="64"/>
      <c r="M86" s="68"/>
    </row>
    <row r="87" spans="1:13" x14ac:dyDescent="0.3">
      <c r="A87" s="63"/>
      <c r="B87" s="64"/>
      <c r="C87" s="64"/>
      <c r="D87" s="64"/>
      <c r="E87" s="64"/>
      <c r="F87" s="64"/>
      <c r="G87" s="64"/>
      <c r="H87" s="69"/>
      <c r="I87" s="69"/>
      <c r="J87" s="70"/>
      <c r="K87" s="70"/>
      <c r="L87" s="64"/>
      <c r="M87" s="68"/>
    </row>
    <row r="88" spans="1:13" x14ac:dyDescent="0.3">
      <c r="A88" s="63"/>
      <c r="B88" s="64"/>
      <c r="C88" s="64"/>
      <c r="D88" s="64"/>
      <c r="E88" s="64"/>
      <c r="F88" s="64"/>
      <c r="G88" s="64"/>
      <c r="H88" s="69"/>
      <c r="I88" s="69"/>
      <c r="J88" s="70"/>
      <c r="K88" s="70"/>
      <c r="L88" s="64"/>
      <c r="M88" s="68"/>
    </row>
    <row r="89" spans="1:13" x14ac:dyDescent="0.3">
      <c r="A89" s="63"/>
      <c r="B89" s="64"/>
      <c r="C89" s="64"/>
      <c r="D89" s="64"/>
      <c r="E89" s="64"/>
      <c r="F89" s="64"/>
      <c r="G89" s="64"/>
      <c r="H89" s="69"/>
      <c r="I89" s="69"/>
      <c r="J89" s="70"/>
      <c r="K89" s="70"/>
      <c r="L89" s="64"/>
      <c r="M89" s="68"/>
    </row>
    <row r="90" spans="1:13" x14ac:dyDescent="0.3">
      <c r="A90" s="63"/>
      <c r="B90" s="64"/>
      <c r="C90" s="64"/>
      <c r="D90" s="64"/>
      <c r="E90" s="64"/>
      <c r="F90" s="64"/>
      <c r="G90" s="64"/>
      <c r="H90" s="69"/>
      <c r="I90" s="69"/>
      <c r="J90" s="70"/>
      <c r="K90" s="70"/>
      <c r="L90" s="64"/>
      <c r="M90" s="68"/>
    </row>
    <row r="91" spans="1:13" x14ac:dyDescent="0.3">
      <c r="A91" s="63"/>
      <c r="B91" s="64"/>
      <c r="C91" s="64"/>
      <c r="D91" s="64"/>
      <c r="E91" s="64"/>
      <c r="F91" s="64"/>
      <c r="G91" s="64"/>
      <c r="H91" s="69"/>
      <c r="I91" s="69"/>
      <c r="J91" s="70"/>
      <c r="K91" s="70"/>
      <c r="L91" s="64"/>
      <c r="M91" s="68"/>
    </row>
    <row r="92" spans="1:13" x14ac:dyDescent="0.3">
      <c r="A92" s="63"/>
      <c r="B92" s="64"/>
      <c r="C92" s="64"/>
      <c r="D92" s="64"/>
      <c r="E92" s="64"/>
      <c r="F92" s="64"/>
      <c r="G92" s="64"/>
      <c r="H92" s="69"/>
      <c r="I92" s="69"/>
      <c r="J92" s="70"/>
      <c r="K92" s="70"/>
      <c r="L92" s="64"/>
      <c r="M92" s="68"/>
    </row>
    <row r="93" spans="1:13" x14ac:dyDescent="0.3">
      <c r="A93" s="63"/>
      <c r="B93" s="64"/>
      <c r="C93" s="64"/>
      <c r="D93" s="64"/>
      <c r="E93" s="64"/>
      <c r="F93" s="64"/>
      <c r="G93" s="64"/>
      <c r="H93" s="69"/>
      <c r="I93" s="69"/>
      <c r="J93" s="70"/>
      <c r="K93" s="70"/>
      <c r="L93" s="64"/>
      <c r="M93" s="68"/>
    </row>
    <row r="94" spans="1:13" x14ac:dyDescent="0.3">
      <c r="A94" s="63"/>
      <c r="B94" s="64"/>
      <c r="C94" s="64"/>
      <c r="D94" s="64"/>
      <c r="E94" s="64"/>
      <c r="F94" s="64"/>
      <c r="G94" s="64"/>
      <c r="H94" s="69"/>
      <c r="I94" s="69"/>
      <c r="J94" s="70"/>
      <c r="K94" s="70"/>
      <c r="L94" s="64"/>
      <c r="M94" s="68"/>
    </row>
    <row r="95" spans="1:13" x14ac:dyDescent="0.3">
      <c r="A95" s="63"/>
      <c r="B95" s="64"/>
      <c r="C95" s="64"/>
      <c r="D95" s="64"/>
      <c r="E95" s="64"/>
      <c r="F95" s="64"/>
      <c r="G95" s="64"/>
      <c r="H95" s="69"/>
      <c r="I95" s="69"/>
      <c r="J95" s="70"/>
      <c r="K95" s="70"/>
      <c r="L95" s="64"/>
      <c r="M95" s="68"/>
    </row>
    <row r="96" spans="1:13" x14ac:dyDescent="0.3">
      <c r="A96" s="63"/>
      <c r="B96" s="64"/>
      <c r="C96" s="64"/>
      <c r="D96" s="64"/>
      <c r="E96" s="64"/>
      <c r="F96" s="64"/>
      <c r="G96" s="64"/>
      <c r="H96" s="69"/>
      <c r="I96" s="69"/>
      <c r="J96" s="70"/>
      <c r="K96" s="70"/>
      <c r="L96" s="64"/>
      <c r="M96" s="68"/>
    </row>
    <row r="97" spans="1:13" x14ac:dyDescent="0.3">
      <c r="A97" s="63"/>
      <c r="B97" s="64"/>
      <c r="C97" s="64"/>
      <c r="D97" s="64"/>
      <c r="E97" s="64"/>
      <c r="F97" s="64"/>
      <c r="G97" s="64"/>
      <c r="H97" s="69"/>
      <c r="I97" s="69"/>
      <c r="J97" s="70"/>
      <c r="K97" s="70"/>
      <c r="L97" s="64"/>
      <c r="M97" s="68"/>
    </row>
    <row r="98" spans="1:13" x14ac:dyDescent="0.3">
      <c r="A98" s="63"/>
      <c r="B98" s="64"/>
      <c r="C98" s="64"/>
      <c r="D98" s="64"/>
      <c r="E98" s="64"/>
      <c r="F98" s="64"/>
      <c r="G98" s="64"/>
      <c r="H98" s="69"/>
      <c r="I98" s="69"/>
      <c r="J98" s="70"/>
      <c r="K98" s="70"/>
      <c r="L98" s="64"/>
      <c r="M98" s="68"/>
    </row>
    <row r="99" spans="1:13" x14ac:dyDescent="0.3">
      <c r="A99" s="63"/>
      <c r="B99" s="64"/>
      <c r="C99" s="64"/>
      <c r="D99" s="64"/>
      <c r="E99" s="64"/>
      <c r="F99" s="64"/>
      <c r="G99" s="64"/>
      <c r="H99" s="69"/>
      <c r="I99" s="69"/>
      <c r="J99" s="70"/>
      <c r="K99" s="70"/>
      <c r="L99" s="64"/>
      <c r="M99" s="68"/>
    </row>
    <row r="100" spans="1:13" ht="15.75" customHeight="1" thickBot="1" x14ac:dyDescent="0.35">
      <c r="A100" s="63"/>
      <c r="B100" s="64"/>
      <c r="C100" s="64"/>
      <c r="D100" s="64"/>
      <c r="E100" s="64"/>
      <c r="F100" s="64"/>
      <c r="G100" s="64"/>
      <c r="H100" s="69"/>
      <c r="I100" s="69"/>
      <c r="J100" s="70"/>
      <c r="K100" s="70"/>
      <c r="L100" s="64"/>
      <c r="M100" s="68"/>
    </row>
  </sheetData>
  <autoFilter ref="A3:M100" xr:uid="{00000000-0009-0000-0000-000000000000}"/>
  <mergeCells count="1">
    <mergeCell ref="A1:M1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9" sqref="G9"/>
    </sheetView>
  </sheetViews>
  <sheetFormatPr baseColWidth="10" defaultColWidth="8.6640625" defaultRowHeight="14.4" x14ac:dyDescent="0.3"/>
  <cols>
    <col min="1" max="1" width="8" style="18" customWidth="1"/>
    <col min="2" max="2" width="28" style="18" customWidth="1"/>
    <col min="3" max="3" width="13" style="15" bestFit="1" customWidth="1"/>
    <col min="4" max="4" width="13" customWidth="1"/>
    <col min="5" max="5" width="3" style="14" customWidth="1"/>
    <col min="6" max="6" width="13" style="14" customWidth="1"/>
    <col min="7" max="11" width="13" customWidth="1"/>
    <col min="12" max="47" width="0" hidden="1"/>
    <col min="48" max="48" width="8.6640625" style="14" customWidth="1"/>
    <col min="49" max="16384" width="8.6640625" style="14"/>
  </cols>
  <sheetData>
    <row r="1" spans="1:47" s="12" customFormat="1" ht="29.25" customHeight="1" thickBot="1" x14ac:dyDescent="0.35">
      <c r="A1" s="16"/>
      <c r="B1" s="17"/>
      <c r="C1" s="13"/>
      <c r="D1" s="13"/>
      <c r="F1" s="53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M1" s="54"/>
      <c r="T1" s="54"/>
      <c r="AA1" s="53"/>
      <c r="AH1" s="53"/>
      <c r="AO1" s="53"/>
    </row>
    <row r="2" spans="1:47" s="30" customFormat="1" ht="15.75" customHeight="1" thickBot="1" x14ac:dyDescent="0.35">
      <c r="A2" s="29"/>
      <c r="B2" s="29"/>
    </row>
    <row r="3" spans="1:47" s="11" customFormat="1" ht="80.099999999999994" customHeight="1" thickBot="1" x14ac:dyDescent="0.35">
      <c r="A3" s="71" t="s">
        <v>1</v>
      </c>
      <c r="B3" s="71" t="s">
        <v>144</v>
      </c>
      <c r="C3" s="71" t="s">
        <v>10</v>
      </c>
      <c r="D3" s="71" t="s">
        <v>11</v>
      </c>
      <c r="E3" s="71"/>
      <c r="F3" s="72">
        <v>46157</v>
      </c>
      <c r="G3" s="72">
        <v>46164</v>
      </c>
      <c r="H3" s="72">
        <v>46171</v>
      </c>
      <c r="I3" s="72">
        <v>46178</v>
      </c>
      <c r="J3" s="72">
        <v>46185</v>
      </c>
      <c r="K3" s="72">
        <v>46192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</row>
    <row r="4" spans="1:47" ht="24" customHeight="1" x14ac:dyDescent="0.3">
      <c r="A4" s="73" t="s">
        <v>14</v>
      </c>
      <c r="B4" s="73" t="s">
        <v>15</v>
      </c>
      <c r="C4" s="74">
        <v>46157</v>
      </c>
      <c r="D4" s="74">
        <v>46164</v>
      </c>
      <c r="E4" s="73"/>
      <c r="F4" s="75"/>
      <c r="G4" s="75"/>
      <c r="H4" s="76"/>
      <c r="I4" s="76"/>
      <c r="J4" s="76"/>
      <c r="K4" s="7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20"/>
    </row>
    <row r="5" spans="1:47" ht="24" customHeight="1" x14ac:dyDescent="0.3">
      <c r="A5" s="73" t="s">
        <v>23</v>
      </c>
      <c r="B5" s="73" t="s">
        <v>24</v>
      </c>
      <c r="C5" s="74">
        <v>46157</v>
      </c>
      <c r="D5" s="74">
        <v>46164</v>
      </c>
      <c r="E5" s="73"/>
      <c r="F5" s="75"/>
      <c r="G5" s="75"/>
      <c r="H5" s="76"/>
      <c r="I5" s="76"/>
      <c r="J5" s="76"/>
      <c r="K5" s="76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2"/>
    </row>
    <row r="6" spans="1:47" ht="24" customHeight="1" x14ac:dyDescent="0.3">
      <c r="A6" s="73" t="s">
        <v>29</v>
      </c>
      <c r="B6" s="73" t="s">
        <v>30</v>
      </c>
      <c r="C6" s="74">
        <v>46164</v>
      </c>
      <c r="D6" s="74">
        <v>46164</v>
      </c>
      <c r="E6" s="73"/>
      <c r="F6" s="76"/>
      <c r="G6" s="75"/>
      <c r="H6" s="76"/>
      <c r="I6" s="76"/>
      <c r="J6" s="76"/>
      <c r="K6" s="76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2"/>
    </row>
    <row r="7" spans="1:47" ht="24" customHeight="1" x14ac:dyDescent="0.3">
      <c r="A7" s="73" t="s">
        <v>36</v>
      </c>
      <c r="B7" s="73" t="s">
        <v>37</v>
      </c>
      <c r="C7" s="74">
        <v>46164</v>
      </c>
      <c r="D7" s="74">
        <v>46164</v>
      </c>
      <c r="E7" s="73"/>
      <c r="F7" s="76"/>
      <c r="G7" s="75"/>
      <c r="H7" s="76"/>
      <c r="I7" s="76"/>
      <c r="J7" s="76"/>
      <c r="K7" s="76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2"/>
    </row>
    <row r="8" spans="1:47" ht="24" customHeight="1" x14ac:dyDescent="0.3">
      <c r="A8" s="73" t="s">
        <v>43</v>
      </c>
      <c r="B8" s="73" t="s">
        <v>44</v>
      </c>
      <c r="C8" s="74">
        <v>46164</v>
      </c>
      <c r="D8" s="74">
        <v>46171</v>
      </c>
      <c r="E8" s="73"/>
      <c r="F8" s="76"/>
      <c r="G8" s="75"/>
      <c r="H8" s="75"/>
      <c r="I8" s="76"/>
      <c r="J8" s="76"/>
      <c r="K8" s="76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2"/>
    </row>
    <row r="9" spans="1:47" ht="24" customHeight="1" x14ac:dyDescent="0.3">
      <c r="A9" s="73" t="s">
        <v>48</v>
      </c>
      <c r="B9" s="73" t="s">
        <v>49</v>
      </c>
      <c r="C9" s="74">
        <v>46171</v>
      </c>
      <c r="D9" s="74">
        <v>46171</v>
      </c>
      <c r="E9" s="73"/>
      <c r="F9" s="76"/>
      <c r="G9" s="76"/>
      <c r="H9" s="75"/>
      <c r="I9" s="76"/>
      <c r="J9" s="76"/>
      <c r="K9" s="76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2"/>
    </row>
    <row r="10" spans="1:47" ht="24" customHeight="1" x14ac:dyDescent="0.3">
      <c r="A10" s="73" t="s">
        <v>54</v>
      </c>
      <c r="B10" s="73" t="s">
        <v>55</v>
      </c>
      <c r="C10" s="74">
        <v>46171</v>
      </c>
      <c r="D10" s="74">
        <v>46171</v>
      </c>
      <c r="E10" s="73"/>
      <c r="F10" s="76"/>
      <c r="G10" s="76"/>
      <c r="H10" s="75"/>
      <c r="I10" s="76"/>
      <c r="J10" s="76"/>
      <c r="K10" s="76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2"/>
    </row>
    <row r="11" spans="1:47" ht="24" customHeight="1" x14ac:dyDescent="0.3">
      <c r="A11" s="73" t="s">
        <v>58</v>
      </c>
      <c r="B11" s="73" t="s">
        <v>59</v>
      </c>
      <c r="C11" s="74">
        <v>46171</v>
      </c>
      <c r="D11" s="74">
        <v>46178</v>
      </c>
      <c r="E11" s="73"/>
      <c r="F11" s="76"/>
      <c r="G11" s="76"/>
      <c r="H11" s="75"/>
      <c r="I11" s="75"/>
      <c r="J11" s="76"/>
      <c r="K11" s="76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2"/>
    </row>
    <row r="12" spans="1:47" ht="24" customHeight="1" x14ac:dyDescent="0.3">
      <c r="A12" s="73" t="s">
        <v>63</v>
      </c>
      <c r="B12" s="73" t="s">
        <v>64</v>
      </c>
      <c r="C12" s="74">
        <v>46171</v>
      </c>
      <c r="D12" s="74">
        <v>46171</v>
      </c>
      <c r="E12" s="73"/>
      <c r="F12" s="76"/>
      <c r="G12" s="76"/>
      <c r="H12" s="75"/>
      <c r="I12" s="76"/>
      <c r="J12" s="76"/>
      <c r="K12" s="76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2"/>
    </row>
    <row r="13" spans="1:47" ht="24" customHeight="1" x14ac:dyDescent="0.3">
      <c r="A13" s="73" t="s">
        <v>67</v>
      </c>
      <c r="B13" s="73" t="s">
        <v>68</v>
      </c>
      <c r="C13" s="74">
        <v>46178</v>
      </c>
      <c r="D13" s="74">
        <v>46178</v>
      </c>
      <c r="E13" s="73"/>
      <c r="F13" s="76"/>
      <c r="G13" s="76"/>
      <c r="H13" s="76"/>
      <c r="I13" s="75"/>
      <c r="J13" s="76"/>
      <c r="K13" s="76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2"/>
    </row>
    <row r="14" spans="1:47" ht="24" customHeight="1" x14ac:dyDescent="0.3">
      <c r="A14" s="73" t="s">
        <v>73</v>
      </c>
      <c r="B14" s="73" t="s">
        <v>74</v>
      </c>
      <c r="C14" s="74">
        <v>46178</v>
      </c>
      <c r="D14" s="74">
        <v>46178</v>
      </c>
      <c r="E14" s="73"/>
      <c r="F14" s="76"/>
      <c r="G14" s="76"/>
      <c r="H14" s="76"/>
      <c r="I14" s="75"/>
      <c r="J14" s="76"/>
      <c r="K14" s="76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2"/>
    </row>
    <row r="15" spans="1:47" ht="24" customHeight="1" x14ac:dyDescent="0.3">
      <c r="A15" s="73" t="s">
        <v>77</v>
      </c>
      <c r="B15" s="73" t="s">
        <v>78</v>
      </c>
      <c r="C15" s="74">
        <v>46178</v>
      </c>
      <c r="D15" s="74">
        <v>46185</v>
      </c>
      <c r="E15" s="73"/>
      <c r="F15" s="76"/>
      <c r="G15" s="76"/>
      <c r="H15" s="76"/>
      <c r="I15" s="75"/>
      <c r="J15" s="75"/>
      <c r="K15" s="76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2"/>
    </row>
    <row r="16" spans="1:47" ht="24" customHeight="1" x14ac:dyDescent="0.3">
      <c r="A16" s="73" t="s">
        <v>83</v>
      </c>
      <c r="B16" s="73" t="s">
        <v>84</v>
      </c>
      <c r="C16" s="74">
        <v>46157</v>
      </c>
      <c r="D16" s="74">
        <v>46164</v>
      </c>
      <c r="E16" s="73"/>
      <c r="F16" s="75"/>
      <c r="G16" s="75"/>
      <c r="H16" s="76"/>
      <c r="I16" s="76"/>
      <c r="J16" s="76"/>
      <c r="K16" s="76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2"/>
    </row>
    <row r="17" spans="1:47" ht="24" customHeight="1" x14ac:dyDescent="0.3">
      <c r="A17" s="73" t="s">
        <v>88</v>
      </c>
      <c r="B17" s="73" t="s">
        <v>89</v>
      </c>
      <c r="C17" s="74">
        <v>46164</v>
      </c>
      <c r="D17" s="74">
        <v>46171</v>
      </c>
      <c r="E17" s="73"/>
      <c r="F17" s="76"/>
      <c r="G17" s="75"/>
      <c r="H17" s="75"/>
      <c r="I17" s="76"/>
      <c r="J17" s="76"/>
      <c r="K17" s="76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2"/>
    </row>
    <row r="18" spans="1:47" ht="24" customHeight="1" x14ac:dyDescent="0.3">
      <c r="A18" s="73" t="s">
        <v>92</v>
      </c>
      <c r="B18" s="73" t="s">
        <v>93</v>
      </c>
      <c r="C18" s="74">
        <v>46171</v>
      </c>
      <c r="D18" s="74">
        <v>46178</v>
      </c>
      <c r="E18" s="73"/>
      <c r="F18" s="76"/>
      <c r="G18" s="76"/>
      <c r="H18" s="75"/>
      <c r="I18" s="75"/>
      <c r="J18" s="76"/>
      <c r="K18" s="76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2"/>
    </row>
    <row r="19" spans="1:47" ht="24" customHeight="1" x14ac:dyDescent="0.3">
      <c r="A19" s="73" t="s">
        <v>97</v>
      </c>
      <c r="B19" s="73" t="s">
        <v>98</v>
      </c>
      <c r="C19" s="74">
        <v>46178</v>
      </c>
      <c r="D19" s="74">
        <v>46178</v>
      </c>
      <c r="E19" s="73"/>
      <c r="F19" s="76"/>
      <c r="G19" s="76"/>
      <c r="H19" s="76"/>
      <c r="I19" s="75"/>
      <c r="J19" s="76"/>
      <c r="K19" s="76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2"/>
    </row>
    <row r="20" spans="1:47" ht="24" customHeight="1" x14ac:dyDescent="0.3">
      <c r="A20" s="73" t="s">
        <v>102</v>
      </c>
      <c r="B20" s="73" t="s">
        <v>103</v>
      </c>
      <c r="C20" s="74">
        <v>46185</v>
      </c>
      <c r="D20" s="74">
        <v>46185</v>
      </c>
      <c r="E20" s="73"/>
      <c r="F20" s="76"/>
      <c r="G20" s="76"/>
      <c r="H20" s="76"/>
      <c r="I20" s="76"/>
      <c r="J20" s="75"/>
      <c r="K20" s="76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2"/>
    </row>
    <row r="21" spans="1:47" ht="24" customHeight="1" x14ac:dyDescent="0.3">
      <c r="A21" s="73" t="s">
        <v>108</v>
      </c>
      <c r="B21" s="73" t="s">
        <v>109</v>
      </c>
      <c r="C21" s="74">
        <v>46185</v>
      </c>
      <c r="D21" s="74">
        <v>46185</v>
      </c>
      <c r="E21" s="73"/>
      <c r="F21" s="76"/>
      <c r="G21" s="76"/>
      <c r="H21" s="76"/>
      <c r="I21" s="76"/>
      <c r="J21" s="75"/>
      <c r="K21" s="76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2"/>
    </row>
    <row r="22" spans="1:47" ht="24" customHeight="1" x14ac:dyDescent="0.3">
      <c r="A22" s="73" t="s">
        <v>114</v>
      </c>
      <c r="B22" s="73" t="s">
        <v>115</v>
      </c>
      <c r="C22" s="74">
        <v>46185</v>
      </c>
      <c r="D22" s="74">
        <v>46185</v>
      </c>
      <c r="E22" s="73"/>
      <c r="F22" s="76"/>
      <c r="G22" s="76"/>
      <c r="H22" s="76"/>
      <c r="I22" s="76"/>
      <c r="J22" s="75"/>
      <c r="K22" s="76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2"/>
    </row>
    <row r="23" spans="1:47" ht="24" customHeight="1" x14ac:dyDescent="0.3">
      <c r="A23" s="73" t="s">
        <v>53</v>
      </c>
      <c r="B23" s="73" t="s">
        <v>119</v>
      </c>
      <c r="C23" s="74">
        <v>46185</v>
      </c>
      <c r="D23" s="74">
        <v>46185</v>
      </c>
      <c r="E23" s="73"/>
      <c r="F23" s="76"/>
      <c r="G23" s="76"/>
      <c r="H23" s="76"/>
      <c r="I23" s="76"/>
      <c r="J23" s="75"/>
      <c r="K23" s="76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2"/>
    </row>
    <row r="24" spans="1:47" ht="24" customHeight="1" x14ac:dyDescent="0.3">
      <c r="A24" s="73" t="s">
        <v>62</v>
      </c>
      <c r="B24" s="73" t="s">
        <v>123</v>
      </c>
      <c r="C24" s="74">
        <v>46185</v>
      </c>
      <c r="D24" s="74">
        <v>46185</v>
      </c>
      <c r="E24" s="73"/>
      <c r="F24" s="76"/>
      <c r="G24" s="76"/>
      <c r="H24" s="76"/>
      <c r="I24" s="76"/>
      <c r="J24" s="75"/>
      <c r="K24" s="76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2"/>
    </row>
    <row r="25" spans="1:47" ht="24" customHeight="1" x14ac:dyDescent="0.3">
      <c r="A25" s="73" t="s">
        <v>82</v>
      </c>
      <c r="B25" s="73" t="s">
        <v>127</v>
      </c>
      <c r="C25" s="74">
        <v>46185</v>
      </c>
      <c r="D25" s="74">
        <v>46192</v>
      </c>
      <c r="E25" s="73"/>
      <c r="F25" s="76"/>
      <c r="G25" s="76"/>
      <c r="H25" s="76"/>
      <c r="I25" s="76"/>
      <c r="J25" s="75"/>
      <c r="K25" s="75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2"/>
    </row>
    <row r="26" spans="1:47" ht="24" customHeight="1" x14ac:dyDescent="0.3">
      <c r="A26" s="73" t="s">
        <v>113</v>
      </c>
      <c r="B26" s="73" t="s">
        <v>131</v>
      </c>
      <c r="C26" s="74">
        <v>46192</v>
      </c>
      <c r="D26" s="74">
        <v>46192</v>
      </c>
      <c r="E26" s="73"/>
      <c r="F26" s="76"/>
      <c r="G26" s="76"/>
      <c r="H26" s="76"/>
      <c r="I26" s="76"/>
      <c r="J26" s="76"/>
      <c r="K26" s="75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2"/>
    </row>
    <row r="27" spans="1:47" ht="24" customHeight="1" x14ac:dyDescent="0.3">
      <c r="A27" s="73" t="s">
        <v>134</v>
      </c>
      <c r="B27" s="73" t="s">
        <v>135</v>
      </c>
      <c r="C27" s="74">
        <v>46192</v>
      </c>
      <c r="D27" s="74">
        <v>46192</v>
      </c>
      <c r="E27" s="73"/>
      <c r="F27" s="76"/>
      <c r="G27" s="76"/>
      <c r="H27" s="76"/>
      <c r="I27" s="76"/>
      <c r="J27" s="76"/>
      <c r="K27" s="75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2"/>
    </row>
    <row r="28" spans="1:47" x14ac:dyDescent="0.3">
      <c r="A28" s="57"/>
      <c r="B28" s="55"/>
      <c r="C28" s="56"/>
      <c r="D28" s="58"/>
      <c r="F28" s="77"/>
      <c r="G28" s="78"/>
      <c r="H28" s="78"/>
      <c r="I28" s="78"/>
      <c r="J28" s="78"/>
      <c r="K28" s="78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2"/>
    </row>
    <row r="29" spans="1:47" x14ac:dyDescent="0.3">
      <c r="A29" s="57"/>
      <c r="B29" s="55"/>
      <c r="C29" s="56"/>
      <c r="D29" s="58"/>
      <c r="F29" s="77"/>
      <c r="G29" s="78"/>
      <c r="H29" s="78"/>
      <c r="I29" s="78"/>
      <c r="J29" s="78"/>
      <c r="K29" s="78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2"/>
    </row>
    <row r="30" spans="1:47" x14ac:dyDescent="0.3">
      <c r="A30" s="57"/>
      <c r="B30" s="55"/>
      <c r="C30" s="56"/>
      <c r="D30" s="58"/>
      <c r="F30" s="77"/>
      <c r="G30" s="78"/>
      <c r="H30" s="78"/>
      <c r="I30" s="78"/>
      <c r="J30" s="78"/>
      <c r="K30" s="78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2"/>
    </row>
    <row r="31" spans="1:47" x14ac:dyDescent="0.3">
      <c r="A31" s="57"/>
      <c r="B31" s="55"/>
      <c r="C31" s="56"/>
      <c r="D31" s="58"/>
      <c r="F31" s="77"/>
      <c r="G31" s="78"/>
      <c r="H31" s="78"/>
      <c r="I31" s="78"/>
      <c r="J31" s="78"/>
      <c r="K31" s="78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2"/>
    </row>
    <row r="32" spans="1:47" x14ac:dyDescent="0.3">
      <c r="A32" s="57"/>
      <c r="B32" s="55"/>
      <c r="C32" s="56"/>
      <c r="D32" s="58"/>
      <c r="F32" s="77"/>
      <c r="G32" s="78"/>
      <c r="H32" s="78"/>
      <c r="I32" s="78"/>
      <c r="J32" s="78"/>
      <c r="K32" s="78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2"/>
    </row>
    <row r="33" spans="1:47" x14ac:dyDescent="0.3">
      <c r="A33" s="57"/>
      <c r="B33" s="55"/>
      <c r="C33" s="56"/>
      <c r="D33" s="58"/>
      <c r="F33" s="77"/>
      <c r="G33" s="78"/>
      <c r="H33" s="78"/>
      <c r="I33" s="78"/>
      <c r="J33" s="78"/>
      <c r="K33" s="78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2"/>
    </row>
    <row r="34" spans="1:47" x14ac:dyDescent="0.3">
      <c r="A34" s="57"/>
      <c r="B34" s="55"/>
      <c r="C34" s="56"/>
      <c r="D34" s="58"/>
      <c r="F34" s="77"/>
      <c r="G34" s="78"/>
      <c r="H34" s="78"/>
      <c r="I34" s="78"/>
      <c r="J34" s="78"/>
      <c r="K34" s="78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2"/>
    </row>
    <row r="35" spans="1:47" x14ac:dyDescent="0.3">
      <c r="A35" s="57"/>
      <c r="B35" s="55"/>
      <c r="C35" s="56"/>
      <c r="D35" s="58"/>
      <c r="F35" s="77"/>
      <c r="G35" s="78"/>
      <c r="H35" s="78"/>
      <c r="I35" s="78"/>
      <c r="J35" s="78"/>
      <c r="K35" s="78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2"/>
    </row>
    <row r="36" spans="1:47" x14ac:dyDescent="0.3">
      <c r="A36" s="57"/>
      <c r="B36" s="55"/>
      <c r="C36" s="56"/>
      <c r="D36" s="58"/>
      <c r="F36" s="77"/>
      <c r="G36" s="78"/>
      <c r="H36" s="78"/>
      <c r="I36" s="78"/>
      <c r="J36" s="78"/>
      <c r="K36" s="78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2"/>
    </row>
    <row r="37" spans="1:47" x14ac:dyDescent="0.3">
      <c r="A37" s="57"/>
      <c r="B37" s="55"/>
      <c r="C37" s="56"/>
      <c r="D37" s="58"/>
      <c r="F37" s="77"/>
      <c r="G37" s="78"/>
      <c r="H37" s="78"/>
      <c r="I37" s="78"/>
      <c r="J37" s="78"/>
      <c r="K37" s="78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2"/>
    </row>
    <row r="38" spans="1:47" x14ac:dyDescent="0.3">
      <c r="A38" s="57"/>
      <c r="B38" s="55"/>
      <c r="C38" s="56"/>
      <c r="D38" s="58"/>
      <c r="F38" s="77"/>
      <c r="G38" s="78"/>
      <c r="H38" s="78"/>
      <c r="I38" s="78"/>
      <c r="J38" s="78"/>
      <c r="K38" s="78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2"/>
    </row>
    <row r="39" spans="1:47" x14ac:dyDescent="0.3">
      <c r="A39" s="57"/>
      <c r="B39" s="55"/>
      <c r="C39" s="56"/>
      <c r="D39" s="58"/>
      <c r="F39" s="77"/>
      <c r="G39" s="78"/>
      <c r="H39" s="78"/>
      <c r="I39" s="78"/>
      <c r="J39" s="78"/>
      <c r="K39" s="78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2"/>
    </row>
    <row r="40" spans="1:47" x14ac:dyDescent="0.3">
      <c r="A40" s="57"/>
      <c r="B40" s="55"/>
      <c r="C40" s="56"/>
      <c r="D40" s="58"/>
      <c r="F40" s="77"/>
      <c r="G40" s="78"/>
      <c r="H40" s="78"/>
      <c r="I40" s="78"/>
      <c r="J40" s="78"/>
      <c r="K40" s="78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2"/>
    </row>
    <row r="41" spans="1:47" x14ac:dyDescent="0.3">
      <c r="A41" s="57"/>
      <c r="B41" s="55"/>
      <c r="C41" s="56"/>
      <c r="D41" s="58"/>
      <c r="F41" s="77"/>
      <c r="G41" s="78"/>
      <c r="H41" s="78"/>
      <c r="I41" s="78"/>
      <c r="J41" s="78"/>
      <c r="K41" s="78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2"/>
    </row>
    <row r="42" spans="1:47" x14ac:dyDescent="0.3">
      <c r="A42" s="57"/>
      <c r="B42" s="55"/>
      <c r="C42" s="56"/>
      <c r="D42" s="58"/>
      <c r="F42" s="77"/>
      <c r="G42" s="78"/>
      <c r="H42" s="78"/>
      <c r="I42" s="78"/>
      <c r="J42" s="78"/>
      <c r="K42" s="78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2"/>
    </row>
    <row r="43" spans="1:47" x14ac:dyDescent="0.3">
      <c r="A43" s="57"/>
      <c r="B43" s="55"/>
      <c r="C43" s="56"/>
      <c r="D43" s="58"/>
      <c r="F43" s="77"/>
      <c r="G43" s="78"/>
      <c r="H43" s="78"/>
      <c r="I43" s="78"/>
      <c r="J43" s="78"/>
      <c r="K43" s="78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2"/>
    </row>
    <row r="44" spans="1:47" x14ac:dyDescent="0.3">
      <c r="A44" s="57"/>
      <c r="B44" s="55"/>
      <c r="C44" s="56"/>
      <c r="D44" s="58"/>
      <c r="F44" s="77"/>
      <c r="G44" s="78"/>
      <c r="H44" s="78"/>
      <c r="I44" s="78"/>
      <c r="J44" s="78"/>
      <c r="K44" s="78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2"/>
    </row>
    <row r="45" spans="1:47" x14ac:dyDescent="0.3">
      <c r="A45" s="57"/>
      <c r="B45" s="55"/>
      <c r="C45" s="56"/>
      <c r="D45" s="58"/>
      <c r="F45" s="77"/>
      <c r="G45" s="78"/>
      <c r="H45" s="78"/>
      <c r="I45" s="78"/>
      <c r="J45" s="78"/>
      <c r="K45" s="78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2"/>
    </row>
    <row r="46" spans="1:47" x14ac:dyDescent="0.3">
      <c r="A46" s="57"/>
      <c r="B46" s="55"/>
      <c r="C46" s="56"/>
      <c r="D46" s="58"/>
      <c r="F46" s="77"/>
      <c r="G46" s="78"/>
      <c r="H46" s="78"/>
      <c r="I46" s="78"/>
      <c r="J46" s="78"/>
      <c r="K46" s="7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2"/>
    </row>
    <row r="47" spans="1:47" x14ac:dyDescent="0.3">
      <c r="A47" s="57"/>
      <c r="B47" s="55"/>
      <c r="C47" s="56"/>
      <c r="D47" s="58"/>
      <c r="F47" s="77"/>
      <c r="G47" s="78"/>
      <c r="H47" s="78"/>
      <c r="I47" s="78"/>
      <c r="J47" s="78"/>
      <c r="K47" s="78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2"/>
    </row>
    <row r="48" spans="1:47" x14ac:dyDescent="0.3">
      <c r="A48" s="57"/>
      <c r="B48" s="55"/>
      <c r="C48" s="56"/>
      <c r="D48" s="58"/>
      <c r="F48" s="77"/>
      <c r="G48" s="78"/>
      <c r="H48" s="78"/>
      <c r="I48" s="78"/>
      <c r="J48" s="78"/>
      <c r="K48" s="78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2"/>
    </row>
    <row r="49" spans="1:47" x14ac:dyDescent="0.3">
      <c r="A49" s="57"/>
      <c r="B49" s="55"/>
      <c r="C49" s="56"/>
      <c r="D49" s="58"/>
      <c r="F49" s="77"/>
      <c r="G49" s="78"/>
      <c r="H49" s="78"/>
      <c r="I49" s="78"/>
      <c r="J49" s="78"/>
      <c r="K49" s="78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2"/>
    </row>
    <row r="50" spans="1:47" x14ac:dyDescent="0.3">
      <c r="A50" s="57"/>
      <c r="B50" s="55"/>
      <c r="C50" s="56"/>
      <c r="D50" s="58"/>
      <c r="F50" s="77"/>
      <c r="G50" s="78"/>
      <c r="H50" s="78"/>
      <c r="I50" s="78"/>
      <c r="J50" s="78"/>
      <c r="K50" s="78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2"/>
    </row>
    <row r="51" spans="1:47" x14ac:dyDescent="0.3">
      <c r="A51" s="57"/>
      <c r="B51" s="55"/>
      <c r="C51" s="56"/>
      <c r="D51" s="58"/>
      <c r="F51" s="77"/>
      <c r="G51" s="78"/>
      <c r="H51" s="78"/>
      <c r="I51" s="78"/>
      <c r="J51" s="78"/>
      <c r="K51" s="78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2"/>
    </row>
    <row r="52" spans="1:47" x14ac:dyDescent="0.3">
      <c r="A52" s="57"/>
      <c r="B52" s="55"/>
      <c r="C52" s="56"/>
      <c r="D52" s="58"/>
      <c r="F52" s="77"/>
      <c r="G52" s="78"/>
      <c r="H52" s="78"/>
      <c r="I52" s="78"/>
      <c r="J52" s="78"/>
      <c r="K52" s="78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2"/>
    </row>
    <row r="53" spans="1:47" x14ac:dyDescent="0.3">
      <c r="A53" s="57"/>
      <c r="B53" s="55"/>
      <c r="C53" s="56"/>
      <c r="D53" s="58"/>
      <c r="F53" s="77"/>
      <c r="G53" s="78"/>
      <c r="H53" s="78"/>
      <c r="I53" s="78"/>
      <c r="J53" s="78"/>
      <c r="K53" s="78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2"/>
    </row>
    <row r="54" spans="1:47" x14ac:dyDescent="0.3">
      <c r="A54" s="57"/>
      <c r="B54" s="55"/>
      <c r="C54" s="56"/>
      <c r="D54" s="58"/>
      <c r="F54" s="77"/>
      <c r="G54" s="78"/>
      <c r="H54" s="78"/>
      <c r="I54" s="78"/>
      <c r="J54" s="78"/>
      <c r="K54" s="78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2"/>
    </row>
    <row r="55" spans="1:47" x14ac:dyDescent="0.3">
      <c r="A55" s="57"/>
      <c r="B55" s="55"/>
      <c r="C55" s="56"/>
      <c r="D55" s="58"/>
      <c r="F55" s="77"/>
      <c r="G55" s="78"/>
      <c r="H55" s="78"/>
      <c r="I55" s="78"/>
      <c r="J55" s="78"/>
      <c r="K55" s="78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2"/>
    </row>
    <row r="56" spans="1:47" x14ac:dyDescent="0.3">
      <c r="A56" s="57"/>
      <c r="B56" s="55"/>
      <c r="C56" s="56"/>
      <c r="D56" s="58"/>
      <c r="F56" s="77"/>
      <c r="G56" s="78"/>
      <c r="H56" s="78"/>
      <c r="I56" s="78"/>
      <c r="J56" s="78"/>
      <c r="K56" s="78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2"/>
    </row>
    <row r="57" spans="1:47" x14ac:dyDescent="0.3">
      <c r="A57" s="57"/>
      <c r="B57" s="55"/>
      <c r="C57" s="56"/>
      <c r="D57" s="58"/>
      <c r="F57" s="77"/>
      <c r="G57" s="78"/>
      <c r="H57" s="78"/>
      <c r="I57" s="78"/>
      <c r="J57" s="78"/>
      <c r="K57" s="78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2"/>
    </row>
    <row r="58" spans="1:47" x14ac:dyDescent="0.3">
      <c r="A58" s="57"/>
      <c r="B58" s="55"/>
      <c r="C58" s="56"/>
      <c r="D58" s="58"/>
      <c r="F58" s="77"/>
      <c r="G58" s="78"/>
      <c r="H58" s="78"/>
      <c r="I58" s="78"/>
      <c r="J58" s="78"/>
      <c r="K58" s="78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2"/>
    </row>
    <row r="59" spans="1:47" x14ac:dyDescent="0.3">
      <c r="A59" s="57"/>
      <c r="B59" s="55"/>
      <c r="C59" s="56"/>
      <c r="D59" s="58"/>
      <c r="F59" s="77"/>
      <c r="G59" s="78"/>
      <c r="H59" s="78"/>
      <c r="I59" s="78"/>
      <c r="J59" s="78"/>
      <c r="K59" s="78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2"/>
    </row>
    <row r="60" spans="1:47" x14ac:dyDescent="0.3">
      <c r="A60" s="57"/>
      <c r="B60" s="55"/>
      <c r="C60" s="56"/>
      <c r="D60" s="58"/>
      <c r="F60" s="77"/>
      <c r="G60" s="78"/>
      <c r="H60" s="78"/>
      <c r="I60" s="78"/>
      <c r="J60" s="78"/>
      <c r="K60" s="78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2"/>
    </row>
    <row r="61" spans="1:47" x14ac:dyDescent="0.3">
      <c r="A61" s="57"/>
      <c r="B61" s="55"/>
      <c r="C61" s="56"/>
      <c r="D61" s="58"/>
      <c r="F61" s="77"/>
      <c r="G61" s="78"/>
      <c r="H61" s="78"/>
      <c r="I61" s="78"/>
      <c r="J61" s="78"/>
      <c r="K61" s="78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2"/>
    </row>
    <row r="62" spans="1:47" x14ac:dyDescent="0.3">
      <c r="A62" s="57"/>
      <c r="B62" s="55"/>
      <c r="C62" s="56"/>
      <c r="D62" s="58"/>
      <c r="F62" s="77"/>
      <c r="G62" s="78"/>
      <c r="H62" s="78"/>
      <c r="I62" s="78"/>
      <c r="J62" s="78"/>
      <c r="K62" s="78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2"/>
    </row>
    <row r="63" spans="1:47" x14ac:dyDescent="0.3">
      <c r="A63" s="57"/>
      <c r="B63" s="55"/>
      <c r="C63" s="56"/>
      <c r="D63" s="58"/>
      <c r="F63" s="77"/>
      <c r="G63" s="78"/>
      <c r="H63" s="78"/>
      <c r="I63" s="78"/>
      <c r="J63" s="78"/>
      <c r="K63" s="78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2"/>
    </row>
    <row r="64" spans="1:47" x14ac:dyDescent="0.3">
      <c r="A64" s="57"/>
      <c r="B64" s="55"/>
      <c r="C64" s="56"/>
      <c r="D64" s="58"/>
      <c r="F64" s="77"/>
      <c r="G64" s="78"/>
      <c r="H64" s="78"/>
      <c r="I64" s="78"/>
      <c r="J64" s="78"/>
      <c r="K64" s="78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2"/>
    </row>
    <row r="65" spans="1:47" x14ac:dyDescent="0.3">
      <c r="A65" s="57"/>
      <c r="B65" s="55"/>
      <c r="C65" s="56"/>
      <c r="D65" s="58"/>
      <c r="F65" s="77"/>
      <c r="G65" s="78"/>
      <c r="H65" s="78"/>
      <c r="I65" s="78"/>
      <c r="J65" s="78"/>
      <c r="K65" s="78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2"/>
    </row>
    <row r="66" spans="1:47" x14ac:dyDescent="0.3">
      <c r="A66" s="57"/>
      <c r="B66" s="55"/>
      <c r="C66" s="56"/>
      <c r="D66" s="58"/>
      <c r="F66" s="77"/>
      <c r="G66" s="78"/>
      <c r="H66" s="78"/>
      <c r="I66" s="78"/>
      <c r="J66" s="78"/>
      <c r="K66" s="78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2"/>
    </row>
    <row r="67" spans="1:47" x14ac:dyDescent="0.3">
      <c r="A67" s="57"/>
      <c r="B67" s="55"/>
      <c r="C67" s="56"/>
      <c r="D67" s="58"/>
      <c r="F67" s="77"/>
      <c r="G67" s="78"/>
      <c r="H67" s="78"/>
      <c r="I67" s="78"/>
      <c r="J67" s="78"/>
      <c r="K67" s="78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2"/>
    </row>
    <row r="68" spans="1:47" x14ac:dyDescent="0.3">
      <c r="A68" s="57"/>
      <c r="B68" s="55"/>
      <c r="C68" s="56"/>
      <c r="D68" s="58"/>
      <c r="F68" s="77"/>
      <c r="G68" s="78"/>
      <c r="H68" s="78"/>
      <c r="I68" s="78"/>
      <c r="J68" s="78"/>
      <c r="K68" s="78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2"/>
    </row>
    <row r="69" spans="1:47" x14ac:dyDescent="0.3">
      <c r="A69" s="57"/>
      <c r="B69" s="55"/>
      <c r="C69" s="56"/>
      <c r="D69" s="58"/>
      <c r="F69" s="77"/>
      <c r="G69" s="78"/>
      <c r="H69" s="78"/>
      <c r="I69" s="78"/>
      <c r="J69" s="78"/>
      <c r="K69" s="78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2"/>
    </row>
    <row r="70" spans="1:47" x14ac:dyDescent="0.3">
      <c r="A70" s="57"/>
      <c r="B70" s="55"/>
      <c r="C70" s="56"/>
      <c r="D70" s="58"/>
      <c r="F70" s="77"/>
      <c r="G70" s="78"/>
      <c r="H70" s="78"/>
      <c r="I70" s="78"/>
      <c r="J70" s="78"/>
      <c r="K70" s="78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2"/>
    </row>
    <row r="71" spans="1:47" x14ac:dyDescent="0.3">
      <c r="A71" s="57"/>
      <c r="B71" s="55"/>
      <c r="C71" s="56"/>
      <c r="D71" s="58"/>
      <c r="F71" s="77"/>
      <c r="G71" s="78"/>
      <c r="H71" s="78"/>
      <c r="I71" s="78"/>
      <c r="J71" s="78"/>
      <c r="K71" s="78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2"/>
    </row>
    <row r="72" spans="1:47" x14ac:dyDescent="0.3">
      <c r="A72" s="57"/>
      <c r="B72" s="55"/>
      <c r="C72" s="56"/>
      <c r="D72" s="58"/>
      <c r="F72" s="77"/>
      <c r="G72" s="78"/>
      <c r="H72" s="78"/>
      <c r="I72" s="78"/>
      <c r="J72" s="78"/>
      <c r="K72" s="78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2"/>
    </row>
    <row r="73" spans="1:47" x14ac:dyDescent="0.3">
      <c r="A73" s="57"/>
      <c r="B73" s="55"/>
      <c r="C73" s="56"/>
      <c r="D73" s="58"/>
      <c r="F73" s="77"/>
      <c r="G73" s="78"/>
      <c r="H73" s="78"/>
      <c r="I73" s="78"/>
      <c r="J73" s="78"/>
      <c r="K73" s="78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2"/>
    </row>
    <row r="74" spans="1:47" x14ac:dyDescent="0.3">
      <c r="A74" s="57"/>
      <c r="B74" s="55"/>
      <c r="C74" s="56"/>
      <c r="D74" s="58"/>
      <c r="F74" s="77"/>
      <c r="G74" s="78"/>
      <c r="H74" s="78"/>
      <c r="I74" s="78"/>
      <c r="J74" s="78"/>
      <c r="K74" s="78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2"/>
    </row>
    <row r="75" spans="1:47" x14ac:dyDescent="0.3">
      <c r="A75" s="57"/>
      <c r="B75" s="55"/>
      <c r="C75" s="56"/>
      <c r="D75" s="58"/>
      <c r="F75" s="77"/>
      <c r="G75" s="78"/>
      <c r="H75" s="78"/>
      <c r="I75" s="78"/>
      <c r="J75" s="78"/>
      <c r="K75" s="78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2"/>
    </row>
    <row r="76" spans="1:47" x14ac:dyDescent="0.3">
      <c r="A76" s="57"/>
      <c r="B76" s="55"/>
      <c r="C76" s="56"/>
      <c r="D76" s="58"/>
      <c r="F76" s="77"/>
      <c r="G76" s="78"/>
      <c r="H76" s="78"/>
      <c r="I76" s="78"/>
      <c r="J76" s="78"/>
      <c r="K76" s="78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2"/>
    </row>
    <row r="77" spans="1:47" x14ac:dyDescent="0.3">
      <c r="A77" s="57"/>
      <c r="B77" s="55"/>
      <c r="C77" s="56"/>
      <c r="D77" s="58"/>
      <c r="F77" s="77"/>
      <c r="G77" s="78"/>
      <c r="H77" s="78"/>
      <c r="I77" s="78"/>
      <c r="J77" s="78"/>
      <c r="K77" s="78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2"/>
    </row>
    <row r="78" spans="1:47" x14ac:dyDescent="0.3">
      <c r="A78" s="57"/>
      <c r="B78" s="55"/>
      <c r="C78" s="56"/>
      <c r="D78" s="58"/>
      <c r="F78" s="77"/>
      <c r="G78" s="78"/>
      <c r="H78" s="78"/>
      <c r="I78" s="78"/>
      <c r="J78" s="78"/>
      <c r="K78" s="78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2"/>
    </row>
    <row r="79" spans="1:47" x14ac:dyDescent="0.3">
      <c r="A79" s="57"/>
      <c r="B79" s="55"/>
      <c r="C79" s="56"/>
      <c r="D79" s="58"/>
      <c r="F79" s="77"/>
      <c r="G79" s="78"/>
      <c r="H79" s="78"/>
      <c r="I79" s="78"/>
      <c r="J79" s="78"/>
      <c r="K79" s="78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2"/>
    </row>
    <row r="80" spans="1:47" x14ac:dyDescent="0.3">
      <c r="A80" s="57"/>
      <c r="B80" s="55"/>
      <c r="C80" s="56"/>
      <c r="D80" s="58"/>
      <c r="F80" s="77"/>
      <c r="G80" s="78"/>
      <c r="H80" s="78"/>
      <c r="I80" s="78"/>
      <c r="J80" s="78"/>
      <c r="K80" s="78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2"/>
    </row>
    <row r="81" spans="1:47" x14ac:dyDescent="0.3">
      <c r="A81" s="57"/>
      <c r="B81" s="55"/>
      <c r="C81" s="56"/>
      <c r="D81" s="58"/>
      <c r="F81" s="77"/>
      <c r="G81" s="78"/>
      <c r="H81" s="78"/>
      <c r="I81" s="78"/>
      <c r="J81" s="78"/>
      <c r="K81" s="78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2"/>
    </row>
    <row r="82" spans="1:47" x14ac:dyDescent="0.3">
      <c r="A82" s="57"/>
      <c r="B82" s="55"/>
      <c r="C82" s="56"/>
      <c r="D82" s="58"/>
      <c r="F82" s="77"/>
      <c r="G82" s="78"/>
      <c r="H82" s="78"/>
      <c r="I82" s="78"/>
      <c r="J82" s="78"/>
      <c r="K82" s="78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2"/>
    </row>
    <row r="83" spans="1:47" x14ac:dyDescent="0.3">
      <c r="A83" s="57"/>
      <c r="B83" s="55"/>
      <c r="C83" s="56"/>
      <c r="D83" s="58"/>
      <c r="F83" s="77"/>
      <c r="G83" s="78"/>
      <c r="H83" s="78"/>
      <c r="I83" s="78"/>
      <c r="J83" s="78"/>
      <c r="K83" s="78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2"/>
    </row>
    <row r="84" spans="1:47" x14ac:dyDescent="0.3">
      <c r="A84" s="57"/>
      <c r="B84" s="55"/>
      <c r="C84" s="56"/>
      <c r="D84" s="58"/>
      <c r="F84" s="77"/>
      <c r="G84" s="78"/>
      <c r="H84" s="78"/>
      <c r="I84" s="78"/>
      <c r="J84" s="78"/>
      <c r="K84" s="78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2"/>
    </row>
    <row r="85" spans="1:47" x14ac:dyDescent="0.3">
      <c r="A85" s="57"/>
      <c r="B85" s="55"/>
      <c r="C85" s="56"/>
      <c r="D85" s="58"/>
      <c r="F85" s="77"/>
      <c r="G85" s="78"/>
      <c r="H85" s="78"/>
      <c r="I85" s="78"/>
      <c r="J85" s="78"/>
      <c r="K85" s="78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2"/>
    </row>
    <row r="86" spans="1:47" x14ac:dyDescent="0.3">
      <c r="A86" s="57"/>
      <c r="B86" s="55"/>
      <c r="C86" s="56"/>
      <c r="D86" s="58"/>
      <c r="F86" s="77"/>
      <c r="G86" s="78"/>
      <c r="H86" s="78"/>
      <c r="I86" s="78"/>
      <c r="J86" s="78"/>
      <c r="K86" s="78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2"/>
    </row>
    <row r="87" spans="1:47" x14ac:dyDescent="0.3">
      <c r="A87" s="57"/>
      <c r="B87" s="55"/>
      <c r="C87" s="56"/>
      <c r="D87" s="58"/>
      <c r="F87" s="77"/>
      <c r="G87" s="78"/>
      <c r="H87" s="78"/>
      <c r="I87" s="78"/>
      <c r="J87" s="78"/>
      <c r="K87" s="78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2"/>
    </row>
    <row r="88" spans="1:47" x14ac:dyDescent="0.3">
      <c r="A88" s="57"/>
      <c r="B88" s="55"/>
      <c r="C88" s="56"/>
      <c r="D88" s="58"/>
      <c r="F88" s="77"/>
      <c r="G88" s="78"/>
      <c r="H88" s="78"/>
      <c r="I88" s="78"/>
      <c r="J88" s="78"/>
      <c r="K88" s="78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2"/>
    </row>
    <row r="89" spans="1:47" x14ac:dyDescent="0.3">
      <c r="A89" s="57"/>
      <c r="B89" s="55"/>
      <c r="C89" s="56"/>
      <c r="D89" s="58"/>
      <c r="F89" s="77"/>
      <c r="G89" s="78"/>
      <c r="H89" s="78"/>
      <c r="I89" s="78"/>
      <c r="J89" s="78"/>
      <c r="K89" s="78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2"/>
    </row>
    <row r="90" spans="1:47" x14ac:dyDescent="0.3">
      <c r="A90" s="57"/>
      <c r="B90" s="55"/>
      <c r="C90" s="56"/>
      <c r="D90" s="58"/>
      <c r="F90" s="77"/>
      <c r="G90" s="78"/>
      <c r="H90" s="78"/>
      <c r="I90" s="78"/>
      <c r="J90" s="78"/>
      <c r="K90" s="78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2"/>
    </row>
    <row r="91" spans="1:47" x14ac:dyDescent="0.3">
      <c r="A91" s="57"/>
      <c r="B91" s="55"/>
      <c r="C91" s="56"/>
      <c r="D91" s="58"/>
      <c r="F91" s="77"/>
      <c r="G91" s="78"/>
      <c r="H91" s="78"/>
      <c r="I91" s="78"/>
      <c r="J91" s="78"/>
      <c r="K91" s="78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2"/>
    </row>
    <row r="92" spans="1:47" x14ac:dyDescent="0.3">
      <c r="A92" s="57"/>
      <c r="B92" s="55"/>
      <c r="C92" s="56"/>
      <c r="D92" s="58"/>
      <c r="F92" s="77"/>
      <c r="G92" s="78"/>
      <c r="H92" s="78"/>
      <c r="I92" s="78"/>
      <c r="J92" s="78"/>
      <c r="K92" s="78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2"/>
    </row>
    <row r="93" spans="1:47" x14ac:dyDescent="0.3">
      <c r="A93" s="57"/>
      <c r="B93" s="55"/>
      <c r="C93" s="56"/>
      <c r="D93" s="58"/>
      <c r="F93" s="77"/>
      <c r="G93" s="78"/>
      <c r="H93" s="78"/>
      <c r="I93" s="78"/>
      <c r="J93" s="78"/>
      <c r="K93" s="78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2"/>
    </row>
    <row r="94" spans="1:47" x14ac:dyDescent="0.3">
      <c r="A94" s="57"/>
      <c r="B94" s="55"/>
      <c r="C94" s="56"/>
      <c r="D94" s="58"/>
      <c r="F94" s="77"/>
      <c r="G94" s="78"/>
      <c r="H94" s="78"/>
      <c r="I94" s="78"/>
      <c r="J94" s="78"/>
      <c r="K94" s="78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2"/>
    </row>
    <row r="95" spans="1:47" x14ac:dyDescent="0.3">
      <c r="A95" s="57"/>
      <c r="B95" s="55"/>
      <c r="C95" s="56"/>
      <c r="D95" s="58"/>
      <c r="F95" s="77"/>
      <c r="G95" s="78"/>
      <c r="H95" s="78"/>
      <c r="I95" s="78"/>
      <c r="J95" s="78"/>
      <c r="K95" s="78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2"/>
    </row>
    <row r="96" spans="1:47" x14ac:dyDescent="0.3">
      <c r="A96" s="57"/>
      <c r="B96" s="55"/>
      <c r="C96" s="56"/>
      <c r="D96" s="58"/>
      <c r="F96" s="77"/>
      <c r="G96" s="78"/>
      <c r="H96" s="78"/>
      <c r="I96" s="78"/>
      <c r="J96" s="78"/>
      <c r="K96" s="78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2"/>
    </row>
    <row r="97" spans="1:47" x14ac:dyDescent="0.3">
      <c r="A97" s="57"/>
      <c r="B97" s="55"/>
      <c r="C97" s="56"/>
      <c r="D97" s="58"/>
      <c r="F97" s="77"/>
      <c r="G97" s="78"/>
      <c r="H97" s="78"/>
      <c r="I97" s="78"/>
      <c r="J97" s="78"/>
      <c r="K97" s="78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2"/>
    </row>
    <row r="98" spans="1:47" x14ac:dyDescent="0.3">
      <c r="A98" s="57"/>
      <c r="B98" s="55"/>
      <c r="C98" s="56"/>
      <c r="D98" s="58"/>
      <c r="F98" s="77"/>
      <c r="G98" s="78"/>
      <c r="H98" s="78"/>
      <c r="I98" s="78"/>
      <c r="J98" s="78"/>
      <c r="K98" s="78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2"/>
    </row>
    <row r="99" spans="1:47" x14ac:dyDescent="0.3">
      <c r="A99" s="57"/>
      <c r="B99" s="55"/>
      <c r="C99" s="56"/>
      <c r="D99" s="58"/>
      <c r="F99" s="77"/>
      <c r="G99" s="78"/>
      <c r="H99" s="78"/>
      <c r="I99" s="78"/>
      <c r="J99" s="78"/>
      <c r="K99" s="78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2"/>
    </row>
    <row r="100" spans="1:47" ht="15.75" customHeight="1" thickBot="1" x14ac:dyDescent="0.35">
      <c r="A100" s="59"/>
      <c r="B100" s="60"/>
      <c r="C100" s="61"/>
      <c r="D100" s="62"/>
      <c r="F100" s="79"/>
      <c r="G100" s="80"/>
      <c r="H100" s="80"/>
      <c r="I100" s="80"/>
      <c r="J100" s="80"/>
      <c r="K100" s="80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4"/>
    </row>
  </sheetData>
  <autoFilter ref="A3:AU100" xr:uid="{00000000-0009-0000-0000-000001000000}"/>
  <conditionalFormatting sqref="F4:AU100">
    <cfRule type="cellIs" dxfId="1" priority="1" operator="equal">
      <formula>1</formula>
    </cfRule>
    <cfRule type="cellIs" dxfId="0" priority="2" operator="equal">
      <formula>1</formula>
    </cfRule>
  </conditionalFormatting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0" sqref="K10"/>
    </sheetView>
  </sheetViews>
  <sheetFormatPr baseColWidth="10" defaultColWidth="8.6640625" defaultRowHeight="14.4" x14ac:dyDescent="0.3"/>
  <cols>
    <col min="1" max="1" width="8" style="46" customWidth="1"/>
    <col min="2" max="2" width="26" style="46" customWidth="1"/>
    <col min="3" max="3" width="12" style="46" bestFit="1" customWidth="1"/>
    <col min="4" max="4" width="14" customWidth="1"/>
    <col min="5" max="5" width="12" customWidth="1"/>
    <col min="6" max="6" width="13" style="47" customWidth="1"/>
    <col min="7" max="7" width="13" customWidth="1"/>
    <col min="8" max="8" width="13" style="48" customWidth="1"/>
    <col min="9" max="9" width="12" customWidth="1"/>
    <col min="10" max="10" width="16" style="49" customWidth="1"/>
    <col min="11" max="11" width="14" style="48" customWidth="1"/>
    <col min="12" max="12" width="12" customWidth="1"/>
    <col min="13" max="13" width="18" style="49" customWidth="1"/>
    <col min="14" max="14" width="16" style="46" customWidth="1"/>
    <col min="15" max="15" width="12" customWidth="1"/>
    <col min="16" max="16" width="8.6640625" style="46" customWidth="1"/>
    <col min="17" max="16384" width="8.6640625" style="46"/>
  </cols>
  <sheetData>
    <row r="1" spans="1:15" s="39" customFormat="1" ht="29.25" customHeight="1" thickBot="1" x14ac:dyDescent="0.35">
      <c r="A1" s="100" t="s">
        <v>0</v>
      </c>
      <c r="B1" s="101"/>
      <c r="D1" s="98" t="s">
        <v>145</v>
      </c>
      <c r="E1" s="99"/>
      <c r="F1" s="81">
        <v>46157</v>
      </c>
      <c r="G1" s="40"/>
      <c r="H1" s="41">
        <f>SUM(H4:H999)</f>
        <v>0</v>
      </c>
      <c r="I1" s="41">
        <f>SUM(I4:I999)</f>
        <v>0</v>
      </c>
      <c r="J1" s="42"/>
      <c r="K1" s="41">
        <f>SUM(K4:K999)</f>
        <v>36</v>
      </c>
      <c r="L1" s="41" t="e">
        <f>SUM(L4:L999)</f>
        <v>#REF!</v>
      </c>
      <c r="M1" s="43"/>
      <c r="N1" s="41">
        <f>SUM(N4:N999)</f>
        <v>0</v>
      </c>
      <c r="O1" s="41">
        <f>SUM(O4:O999)</f>
        <v>0</v>
      </c>
    </row>
    <row r="2" spans="1:15" s="44" customFormat="1" ht="30.75" customHeight="1" thickBot="1" x14ac:dyDescent="0.35">
      <c r="A2" s="52"/>
      <c r="B2" s="52">
        <v>2</v>
      </c>
      <c r="C2" s="52">
        <v>5</v>
      </c>
      <c r="D2" s="52">
        <v>8</v>
      </c>
      <c r="E2" s="52">
        <v>9</v>
      </c>
      <c r="F2" s="52">
        <v>10</v>
      </c>
      <c r="G2" s="52">
        <v>11</v>
      </c>
      <c r="H2" s="96" t="s">
        <v>146</v>
      </c>
      <c r="I2" s="97"/>
      <c r="J2" s="45"/>
      <c r="K2" s="96" t="s">
        <v>147</v>
      </c>
      <c r="L2" s="97"/>
      <c r="M2" s="45"/>
      <c r="N2" s="96" t="s">
        <v>148</v>
      </c>
      <c r="O2" s="97"/>
    </row>
    <row r="3" spans="1:15" s="35" customFormat="1" ht="120" customHeight="1" thickBot="1" x14ac:dyDescent="0.35">
      <c r="A3" s="31" t="s">
        <v>1</v>
      </c>
      <c r="B3" s="32" t="s">
        <v>144</v>
      </c>
      <c r="C3" s="27" t="s">
        <v>5</v>
      </c>
      <c r="D3" s="27" t="s">
        <v>149</v>
      </c>
      <c r="E3" s="27" t="s">
        <v>150</v>
      </c>
      <c r="F3" s="3" t="s">
        <v>10</v>
      </c>
      <c r="G3" s="3" t="s">
        <v>11</v>
      </c>
      <c r="H3" s="38" t="s">
        <v>151</v>
      </c>
      <c r="I3" s="38" t="s">
        <v>152</v>
      </c>
      <c r="J3" s="36" t="s">
        <v>153</v>
      </c>
      <c r="K3" s="33" t="s">
        <v>154</v>
      </c>
      <c r="L3" s="33" t="s">
        <v>155</v>
      </c>
      <c r="M3" s="37" t="s">
        <v>156</v>
      </c>
      <c r="N3" s="27" t="s">
        <v>157</v>
      </c>
      <c r="O3" s="34" t="s">
        <v>158</v>
      </c>
    </row>
    <row r="4" spans="1:15" ht="15" thickBot="1" x14ac:dyDescent="0.35">
      <c r="A4" s="82" t="s">
        <v>14</v>
      </c>
      <c r="B4" s="83" t="s">
        <v>15</v>
      </c>
      <c r="C4" s="83" t="s">
        <v>18</v>
      </c>
      <c r="D4" s="84">
        <v>2</v>
      </c>
      <c r="E4" s="85">
        <v>0</v>
      </c>
      <c r="F4" s="86">
        <v>46157</v>
      </c>
      <c r="G4" s="86">
        <v>46164</v>
      </c>
      <c r="H4" s="87">
        <v>0</v>
      </c>
      <c r="I4" s="87">
        <v>0</v>
      </c>
      <c r="J4" s="88">
        <v>1</v>
      </c>
      <c r="K4" s="65">
        <v>2</v>
      </c>
      <c r="L4" s="89">
        <f t="shared" ref="L4:L27" si="0">E4*J4</f>
        <v>0</v>
      </c>
      <c r="M4" s="90">
        <v>0</v>
      </c>
      <c r="N4" s="91">
        <f t="shared" ref="N4:N27" si="1">D4*M4</f>
        <v>0</v>
      </c>
      <c r="O4" s="92">
        <f t="shared" ref="O4:O27" si="2">E4*M4</f>
        <v>0</v>
      </c>
    </row>
    <row r="5" spans="1:15" ht="15" thickBot="1" x14ac:dyDescent="0.35">
      <c r="A5" s="82" t="s">
        <v>23</v>
      </c>
      <c r="B5" s="83" t="s">
        <v>24</v>
      </c>
      <c r="C5" s="83" t="s">
        <v>18</v>
      </c>
      <c r="D5" s="84">
        <v>1</v>
      </c>
      <c r="E5" s="85">
        <v>0</v>
      </c>
      <c r="F5" s="86">
        <v>46157</v>
      </c>
      <c r="G5" s="86">
        <v>46164</v>
      </c>
      <c r="H5" s="87">
        <v>0</v>
      </c>
      <c r="I5" s="87">
        <v>0</v>
      </c>
      <c r="J5" s="88">
        <v>1</v>
      </c>
      <c r="K5" s="65">
        <v>1</v>
      </c>
      <c r="L5" s="89">
        <f t="shared" si="0"/>
        <v>0</v>
      </c>
      <c r="M5" s="90">
        <v>0</v>
      </c>
      <c r="N5" s="91">
        <f t="shared" si="1"/>
        <v>0</v>
      </c>
      <c r="O5" s="92">
        <f t="shared" si="2"/>
        <v>0</v>
      </c>
    </row>
    <row r="6" spans="1:15" ht="15" thickBot="1" x14ac:dyDescent="0.35">
      <c r="A6" s="82" t="s">
        <v>29</v>
      </c>
      <c r="B6" s="83" t="s">
        <v>30</v>
      </c>
      <c r="C6" s="83" t="s">
        <v>18</v>
      </c>
      <c r="D6" s="84">
        <v>1</v>
      </c>
      <c r="E6" s="85">
        <v>0</v>
      </c>
      <c r="F6" s="86">
        <v>46164</v>
      </c>
      <c r="G6" s="86">
        <v>46164</v>
      </c>
      <c r="H6" s="87">
        <v>0</v>
      </c>
      <c r="I6" s="87">
        <v>0</v>
      </c>
      <c r="J6" s="88">
        <v>1</v>
      </c>
      <c r="K6" s="65">
        <v>1</v>
      </c>
      <c r="L6" s="89">
        <f t="shared" si="0"/>
        <v>0</v>
      </c>
      <c r="M6" s="90">
        <v>0</v>
      </c>
      <c r="N6" s="91">
        <f t="shared" si="1"/>
        <v>0</v>
      </c>
      <c r="O6" s="92">
        <f t="shared" si="2"/>
        <v>0</v>
      </c>
    </row>
    <row r="7" spans="1:15" ht="15" thickBot="1" x14ac:dyDescent="0.35">
      <c r="A7" s="82" t="s">
        <v>36</v>
      </c>
      <c r="B7" s="83" t="s">
        <v>37</v>
      </c>
      <c r="C7" s="83" t="s">
        <v>18</v>
      </c>
      <c r="D7" s="84">
        <v>1.5</v>
      </c>
      <c r="E7" s="85">
        <v>0</v>
      </c>
      <c r="F7" s="86">
        <v>46164</v>
      </c>
      <c r="G7" s="86">
        <v>46164</v>
      </c>
      <c r="H7" s="87">
        <v>0</v>
      </c>
      <c r="I7" s="87">
        <v>0</v>
      </c>
      <c r="J7" s="88">
        <v>1</v>
      </c>
      <c r="K7" s="65">
        <v>1.5</v>
      </c>
      <c r="L7" s="89">
        <f t="shared" si="0"/>
        <v>0</v>
      </c>
      <c r="M7" s="90">
        <v>0</v>
      </c>
      <c r="N7" s="91">
        <f t="shared" si="1"/>
        <v>0</v>
      </c>
      <c r="O7" s="92">
        <f t="shared" si="2"/>
        <v>0</v>
      </c>
    </row>
    <row r="8" spans="1:15" ht="29.4" thickBot="1" x14ac:dyDescent="0.35">
      <c r="A8" s="82" t="s">
        <v>43</v>
      </c>
      <c r="B8" s="83" t="s">
        <v>44</v>
      </c>
      <c r="C8" s="83" t="s">
        <v>18</v>
      </c>
      <c r="D8" s="84">
        <v>1</v>
      </c>
      <c r="E8" s="85">
        <v>0</v>
      </c>
      <c r="F8" s="86">
        <v>46164</v>
      </c>
      <c r="G8" s="86">
        <v>46171</v>
      </c>
      <c r="H8" s="87">
        <v>0</v>
      </c>
      <c r="I8" s="87">
        <v>0</v>
      </c>
      <c r="J8" s="88">
        <v>1</v>
      </c>
      <c r="K8" s="65">
        <v>1</v>
      </c>
      <c r="L8" s="89">
        <f t="shared" si="0"/>
        <v>0</v>
      </c>
      <c r="M8" s="90">
        <v>0</v>
      </c>
      <c r="N8" s="91">
        <f t="shared" si="1"/>
        <v>0</v>
      </c>
      <c r="O8" s="92">
        <f t="shared" si="2"/>
        <v>0</v>
      </c>
    </row>
    <row r="9" spans="1:15" ht="29.4" thickBot="1" x14ac:dyDescent="0.35">
      <c r="A9" s="82" t="s">
        <v>48</v>
      </c>
      <c r="B9" s="83" t="s">
        <v>49</v>
      </c>
      <c r="C9" s="83" t="s">
        <v>18</v>
      </c>
      <c r="D9" s="84">
        <v>1.5</v>
      </c>
      <c r="E9" s="85">
        <v>0</v>
      </c>
      <c r="F9" s="86">
        <v>46171</v>
      </c>
      <c r="G9" s="86">
        <v>46171</v>
      </c>
      <c r="H9" s="87">
        <v>0</v>
      </c>
      <c r="I9" s="87">
        <v>0</v>
      </c>
      <c r="J9" s="88">
        <v>1</v>
      </c>
      <c r="K9" s="65">
        <v>1.5</v>
      </c>
      <c r="L9" s="89">
        <f t="shared" si="0"/>
        <v>0</v>
      </c>
      <c r="M9" s="90">
        <v>0</v>
      </c>
      <c r="N9" s="91">
        <f t="shared" si="1"/>
        <v>0</v>
      </c>
      <c r="O9" s="92">
        <f t="shared" si="2"/>
        <v>0</v>
      </c>
    </row>
    <row r="10" spans="1:15" ht="29.4" thickBot="1" x14ac:dyDescent="0.35">
      <c r="A10" s="82" t="s">
        <v>54</v>
      </c>
      <c r="B10" s="83" t="s">
        <v>55</v>
      </c>
      <c r="C10" s="83" t="s">
        <v>18</v>
      </c>
      <c r="D10" s="84">
        <v>1.5</v>
      </c>
      <c r="E10" s="85">
        <v>0</v>
      </c>
      <c r="F10" s="86">
        <v>46171</v>
      </c>
      <c r="G10" s="86">
        <v>46171</v>
      </c>
      <c r="H10" s="87">
        <v>0</v>
      </c>
      <c r="I10" s="87">
        <v>0</v>
      </c>
      <c r="J10" s="88">
        <v>1</v>
      </c>
      <c r="K10" s="65">
        <v>1.5</v>
      </c>
      <c r="L10" s="89">
        <f t="shared" si="0"/>
        <v>0</v>
      </c>
      <c r="M10" s="90">
        <v>0</v>
      </c>
      <c r="N10" s="91">
        <f t="shared" si="1"/>
        <v>0</v>
      </c>
      <c r="O10" s="92">
        <f t="shared" si="2"/>
        <v>0</v>
      </c>
    </row>
    <row r="11" spans="1:15" ht="15" thickBot="1" x14ac:dyDescent="0.35">
      <c r="A11" s="82" t="s">
        <v>58</v>
      </c>
      <c r="B11" s="83" t="s">
        <v>59</v>
      </c>
      <c r="C11" s="83" t="s">
        <v>18</v>
      </c>
      <c r="D11" s="84">
        <v>1.5</v>
      </c>
      <c r="E11" s="85">
        <v>0</v>
      </c>
      <c r="F11" s="86">
        <v>46171</v>
      </c>
      <c r="G11" s="86">
        <v>46178</v>
      </c>
      <c r="H11" s="87">
        <v>0</v>
      </c>
      <c r="I11" s="87">
        <v>0</v>
      </c>
      <c r="J11" s="49">
        <v>1</v>
      </c>
      <c r="K11" s="65">
        <v>1.5</v>
      </c>
      <c r="L11" s="89">
        <f>E11*J12</f>
        <v>0</v>
      </c>
      <c r="M11" s="90">
        <v>0</v>
      </c>
      <c r="N11" s="91">
        <f t="shared" si="1"/>
        <v>0</v>
      </c>
      <c r="O11" s="92">
        <f t="shared" si="2"/>
        <v>0</v>
      </c>
    </row>
    <row r="12" spans="1:15" ht="15" thickBot="1" x14ac:dyDescent="0.35">
      <c r="A12" s="82" t="s">
        <v>63</v>
      </c>
      <c r="B12" s="83" t="s">
        <v>64</v>
      </c>
      <c r="C12" s="83" t="s">
        <v>18</v>
      </c>
      <c r="D12" s="84">
        <v>1.5</v>
      </c>
      <c r="E12" s="85">
        <v>0</v>
      </c>
      <c r="F12" s="86">
        <v>46171</v>
      </c>
      <c r="G12" s="86">
        <v>46171</v>
      </c>
      <c r="H12" s="87">
        <v>0</v>
      </c>
      <c r="I12" s="87">
        <v>0</v>
      </c>
      <c r="J12" s="88">
        <v>1</v>
      </c>
      <c r="K12" s="65">
        <v>1.5</v>
      </c>
      <c r="L12" s="89" t="e">
        <f>E12*#REF!</f>
        <v>#REF!</v>
      </c>
      <c r="M12" s="90">
        <v>0</v>
      </c>
      <c r="N12" s="91">
        <f t="shared" si="1"/>
        <v>0</v>
      </c>
      <c r="O12" s="92">
        <f t="shared" si="2"/>
        <v>0</v>
      </c>
    </row>
    <row r="13" spans="1:15" ht="29.4" thickBot="1" x14ac:dyDescent="0.35">
      <c r="A13" s="82" t="s">
        <v>67</v>
      </c>
      <c r="B13" s="83" t="s">
        <v>68</v>
      </c>
      <c r="C13" s="83" t="s">
        <v>18</v>
      </c>
      <c r="D13" s="84">
        <v>2</v>
      </c>
      <c r="E13" s="85">
        <v>0</v>
      </c>
      <c r="F13" s="86">
        <v>46178</v>
      </c>
      <c r="G13" s="86">
        <v>46178</v>
      </c>
      <c r="H13" s="87">
        <v>0</v>
      </c>
      <c r="I13" s="87">
        <v>0</v>
      </c>
      <c r="J13" s="88">
        <v>1</v>
      </c>
      <c r="K13" s="65">
        <v>2</v>
      </c>
      <c r="L13" s="89">
        <f t="shared" si="0"/>
        <v>0</v>
      </c>
      <c r="M13" s="90">
        <v>0</v>
      </c>
      <c r="N13" s="91">
        <f t="shared" si="1"/>
        <v>0</v>
      </c>
      <c r="O13" s="92">
        <f t="shared" si="2"/>
        <v>0</v>
      </c>
    </row>
    <row r="14" spans="1:15" ht="15" thickBot="1" x14ac:dyDescent="0.35">
      <c r="A14" s="82" t="s">
        <v>73</v>
      </c>
      <c r="B14" s="83" t="s">
        <v>74</v>
      </c>
      <c r="C14" s="83" t="s">
        <v>18</v>
      </c>
      <c r="D14" s="84">
        <v>1</v>
      </c>
      <c r="E14" s="85">
        <v>0</v>
      </c>
      <c r="F14" s="86">
        <v>46178</v>
      </c>
      <c r="G14" s="86">
        <v>46178</v>
      </c>
      <c r="H14" s="87">
        <v>0</v>
      </c>
      <c r="I14" s="87">
        <v>0</v>
      </c>
      <c r="J14" s="88">
        <v>1</v>
      </c>
      <c r="K14" s="65">
        <v>1</v>
      </c>
      <c r="L14" s="89">
        <f t="shared" si="0"/>
        <v>0</v>
      </c>
      <c r="M14" s="90">
        <v>0</v>
      </c>
      <c r="N14" s="91">
        <f t="shared" si="1"/>
        <v>0</v>
      </c>
      <c r="O14" s="92">
        <f t="shared" si="2"/>
        <v>0</v>
      </c>
    </row>
    <row r="15" spans="1:15" ht="15" thickBot="1" x14ac:dyDescent="0.35">
      <c r="A15" s="82" t="s">
        <v>77</v>
      </c>
      <c r="B15" s="83" t="s">
        <v>78</v>
      </c>
      <c r="C15" s="83" t="s">
        <v>18</v>
      </c>
      <c r="D15" s="84">
        <v>2</v>
      </c>
      <c r="E15" s="85">
        <v>0</v>
      </c>
      <c r="F15" s="86">
        <v>46178</v>
      </c>
      <c r="G15" s="86">
        <v>46185</v>
      </c>
      <c r="H15" s="87">
        <v>0</v>
      </c>
      <c r="I15" s="87">
        <v>0</v>
      </c>
      <c r="J15" s="88">
        <v>1</v>
      </c>
      <c r="K15" s="65">
        <v>2</v>
      </c>
      <c r="L15" s="89">
        <f t="shared" si="0"/>
        <v>0</v>
      </c>
      <c r="M15" s="90">
        <v>0</v>
      </c>
      <c r="N15" s="91">
        <f t="shared" si="1"/>
        <v>0</v>
      </c>
      <c r="O15" s="92">
        <f t="shared" si="2"/>
        <v>0</v>
      </c>
    </row>
    <row r="16" spans="1:15" ht="15" thickBot="1" x14ac:dyDescent="0.35">
      <c r="A16" s="82" t="s">
        <v>83</v>
      </c>
      <c r="B16" s="83" t="s">
        <v>84</v>
      </c>
      <c r="C16" s="83" t="s">
        <v>18</v>
      </c>
      <c r="D16" s="84">
        <v>2</v>
      </c>
      <c r="E16" s="85">
        <v>0</v>
      </c>
      <c r="F16" s="86">
        <v>46157</v>
      </c>
      <c r="G16" s="86">
        <v>46164</v>
      </c>
      <c r="H16" s="87">
        <v>0</v>
      </c>
      <c r="I16" s="87">
        <v>0</v>
      </c>
      <c r="J16" s="88">
        <v>1</v>
      </c>
      <c r="K16" s="65">
        <v>2</v>
      </c>
      <c r="L16" s="89">
        <f t="shared" si="0"/>
        <v>0</v>
      </c>
      <c r="M16" s="90">
        <v>0</v>
      </c>
      <c r="N16" s="91">
        <f t="shared" si="1"/>
        <v>0</v>
      </c>
      <c r="O16" s="92">
        <f t="shared" si="2"/>
        <v>0</v>
      </c>
    </row>
    <row r="17" spans="1:15" ht="15" thickBot="1" x14ac:dyDescent="0.35">
      <c r="A17" s="82" t="s">
        <v>88</v>
      </c>
      <c r="B17" s="83" t="s">
        <v>89</v>
      </c>
      <c r="C17" s="83" t="s">
        <v>18</v>
      </c>
      <c r="D17" s="84">
        <v>1.5</v>
      </c>
      <c r="E17" s="85">
        <v>0</v>
      </c>
      <c r="F17" s="86">
        <v>46164</v>
      </c>
      <c r="G17" s="86">
        <v>46171</v>
      </c>
      <c r="H17" s="87">
        <v>0</v>
      </c>
      <c r="I17" s="87">
        <v>0</v>
      </c>
      <c r="J17" s="88">
        <v>1</v>
      </c>
      <c r="K17" s="65">
        <v>1.5</v>
      </c>
      <c r="L17" s="89">
        <f t="shared" si="0"/>
        <v>0</v>
      </c>
      <c r="M17" s="90">
        <v>0</v>
      </c>
      <c r="N17" s="91">
        <f t="shared" si="1"/>
        <v>0</v>
      </c>
      <c r="O17" s="92">
        <f t="shared" si="2"/>
        <v>0</v>
      </c>
    </row>
    <row r="18" spans="1:15" ht="15" thickBot="1" x14ac:dyDescent="0.35">
      <c r="A18" s="82" t="s">
        <v>92</v>
      </c>
      <c r="B18" s="83" t="s">
        <v>93</v>
      </c>
      <c r="C18" s="83" t="s">
        <v>18</v>
      </c>
      <c r="D18" s="84">
        <v>1</v>
      </c>
      <c r="E18" s="85">
        <v>0</v>
      </c>
      <c r="F18" s="86">
        <v>46171</v>
      </c>
      <c r="G18" s="86">
        <v>46178</v>
      </c>
      <c r="H18" s="87">
        <v>0</v>
      </c>
      <c r="I18" s="87">
        <v>0</v>
      </c>
      <c r="J18" s="88">
        <v>1</v>
      </c>
      <c r="K18" s="65">
        <v>1</v>
      </c>
      <c r="L18" s="89">
        <f t="shared" si="0"/>
        <v>0</v>
      </c>
      <c r="M18" s="90">
        <v>0</v>
      </c>
      <c r="N18" s="91">
        <f t="shared" si="1"/>
        <v>0</v>
      </c>
      <c r="O18" s="92">
        <f t="shared" si="2"/>
        <v>0</v>
      </c>
    </row>
    <row r="19" spans="1:15" ht="15" thickBot="1" x14ac:dyDescent="0.35">
      <c r="A19" s="82" t="s">
        <v>97</v>
      </c>
      <c r="B19" s="83" t="s">
        <v>98</v>
      </c>
      <c r="C19" s="83" t="s">
        <v>18</v>
      </c>
      <c r="D19" s="84">
        <v>2</v>
      </c>
      <c r="E19" s="85">
        <v>0</v>
      </c>
      <c r="F19" s="86">
        <v>46178</v>
      </c>
      <c r="G19" s="86">
        <v>46178</v>
      </c>
      <c r="H19" s="87">
        <v>0</v>
      </c>
      <c r="I19" s="87">
        <v>0</v>
      </c>
      <c r="J19" s="88">
        <v>1</v>
      </c>
      <c r="K19" s="65">
        <v>2</v>
      </c>
      <c r="L19" s="89">
        <f t="shared" si="0"/>
        <v>0</v>
      </c>
      <c r="M19" s="90">
        <v>0</v>
      </c>
      <c r="N19" s="91">
        <f t="shared" si="1"/>
        <v>0</v>
      </c>
      <c r="O19" s="92">
        <f t="shared" si="2"/>
        <v>0</v>
      </c>
    </row>
    <row r="20" spans="1:15" ht="15" thickBot="1" x14ac:dyDescent="0.35">
      <c r="A20" s="82" t="s">
        <v>102</v>
      </c>
      <c r="B20" s="83" t="s">
        <v>103</v>
      </c>
      <c r="C20" s="83" t="s">
        <v>18</v>
      </c>
      <c r="D20" s="84">
        <v>2</v>
      </c>
      <c r="E20" s="85">
        <v>0</v>
      </c>
      <c r="F20" s="86">
        <v>46185</v>
      </c>
      <c r="G20" s="86">
        <v>46185</v>
      </c>
      <c r="H20" s="87">
        <v>0</v>
      </c>
      <c r="I20" s="87">
        <v>0</v>
      </c>
      <c r="J20" s="88">
        <v>1</v>
      </c>
      <c r="K20" s="65">
        <v>2</v>
      </c>
      <c r="L20" s="89">
        <f t="shared" si="0"/>
        <v>0</v>
      </c>
      <c r="M20" s="90">
        <v>0</v>
      </c>
      <c r="N20" s="91">
        <f t="shared" si="1"/>
        <v>0</v>
      </c>
      <c r="O20" s="92">
        <f t="shared" si="2"/>
        <v>0</v>
      </c>
    </row>
    <row r="21" spans="1:15" ht="15" thickBot="1" x14ac:dyDescent="0.35">
      <c r="A21" s="82" t="s">
        <v>108</v>
      </c>
      <c r="B21" s="83" t="s">
        <v>109</v>
      </c>
      <c r="C21" s="83" t="s">
        <v>18</v>
      </c>
      <c r="D21" s="84">
        <v>1</v>
      </c>
      <c r="E21" s="85">
        <v>0</v>
      </c>
      <c r="F21" s="86">
        <v>46185</v>
      </c>
      <c r="G21" s="86">
        <v>46185</v>
      </c>
      <c r="H21" s="87">
        <v>0</v>
      </c>
      <c r="I21" s="87">
        <v>0</v>
      </c>
      <c r="J21" s="88">
        <v>1</v>
      </c>
      <c r="K21" s="65">
        <v>1</v>
      </c>
      <c r="L21" s="89">
        <f t="shared" si="0"/>
        <v>0</v>
      </c>
      <c r="M21" s="90">
        <v>0</v>
      </c>
      <c r="N21" s="91">
        <f t="shared" si="1"/>
        <v>0</v>
      </c>
      <c r="O21" s="92">
        <f t="shared" si="2"/>
        <v>0</v>
      </c>
    </row>
    <row r="22" spans="1:15" ht="15" thickBot="1" x14ac:dyDescent="0.35">
      <c r="A22" s="82" t="s">
        <v>114</v>
      </c>
      <c r="B22" s="83" t="s">
        <v>115</v>
      </c>
      <c r="C22" s="83" t="s">
        <v>18</v>
      </c>
      <c r="D22" s="84">
        <v>2</v>
      </c>
      <c r="E22" s="85">
        <v>0</v>
      </c>
      <c r="F22" s="86">
        <v>46185</v>
      </c>
      <c r="G22" s="86">
        <v>46185</v>
      </c>
      <c r="H22" s="87">
        <v>0</v>
      </c>
      <c r="I22" s="87">
        <v>0</v>
      </c>
      <c r="J22" s="88">
        <v>1</v>
      </c>
      <c r="K22" s="65">
        <v>2</v>
      </c>
      <c r="L22" s="89">
        <f t="shared" si="0"/>
        <v>0</v>
      </c>
      <c r="M22" s="90">
        <v>0</v>
      </c>
      <c r="N22" s="91">
        <f t="shared" si="1"/>
        <v>0</v>
      </c>
      <c r="O22" s="92">
        <f t="shared" si="2"/>
        <v>0</v>
      </c>
    </row>
    <row r="23" spans="1:15" ht="15" thickBot="1" x14ac:dyDescent="0.35">
      <c r="A23" s="82" t="s">
        <v>53</v>
      </c>
      <c r="B23" s="83" t="s">
        <v>119</v>
      </c>
      <c r="C23" s="83" t="s">
        <v>18</v>
      </c>
      <c r="D23" s="84">
        <v>1</v>
      </c>
      <c r="E23" s="85">
        <v>0</v>
      </c>
      <c r="F23" s="86">
        <v>46185</v>
      </c>
      <c r="G23" s="86">
        <v>46185</v>
      </c>
      <c r="H23" s="87">
        <v>0</v>
      </c>
      <c r="I23" s="87">
        <v>0</v>
      </c>
      <c r="J23" s="88">
        <v>1</v>
      </c>
      <c r="K23" s="65">
        <v>1</v>
      </c>
      <c r="L23" s="89">
        <f t="shared" si="0"/>
        <v>0</v>
      </c>
      <c r="M23" s="90">
        <v>0</v>
      </c>
      <c r="N23" s="91">
        <f t="shared" si="1"/>
        <v>0</v>
      </c>
      <c r="O23" s="92">
        <f t="shared" si="2"/>
        <v>0</v>
      </c>
    </row>
    <row r="24" spans="1:15" ht="15" thickBot="1" x14ac:dyDescent="0.35">
      <c r="A24" s="82" t="s">
        <v>62</v>
      </c>
      <c r="B24" s="83" t="s">
        <v>123</v>
      </c>
      <c r="C24" s="83" t="s">
        <v>18</v>
      </c>
      <c r="D24" s="84">
        <v>1</v>
      </c>
      <c r="E24" s="85">
        <v>0</v>
      </c>
      <c r="F24" s="86">
        <v>46185</v>
      </c>
      <c r="G24" s="86">
        <v>46185</v>
      </c>
      <c r="H24" s="87">
        <v>0</v>
      </c>
      <c r="I24" s="87">
        <v>0</v>
      </c>
      <c r="J24" s="88">
        <v>1</v>
      </c>
      <c r="K24" s="65">
        <v>1</v>
      </c>
      <c r="L24" s="89">
        <f t="shared" si="0"/>
        <v>0</v>
      </c>
      <c r="M24" s="90">
        <v>0</v>
      </c>
      <c r="N24" s="91">
        <f t="shared" si="1"/>
        <v>0</v>
      </c>
      <c r="O24" s="92">
        <f t="shared" si="2"/>
        <v>0</v>
      </c>
    </row>
    <row r="25" spans="1:15" ht="15" thickBot="1" x14ac:dyDescent="0.35">
      <c r="A25" s="82" t="s">
        <v>82</v>
      </c>
      <c r="B25" s="83" t="s">
        <v>127</v>
      </c>
      <c r="C25" s="83" t="s">
        <v>18</v>
      </c>
      <c r="D25" s="84">
        <v>2</v>
      </c>
      <c r="E25" s="85">
        <v>0</v>
      </c>
      <c r="F25" s="86">
        <v>46185</v>
      </c>
      <c r="G25" s="86">
        <v>46192</v>
      </c>
      <c r="H25" s="87">
        <v>0</v>
      </c>
      <c r="I25" s="87">
        <v>0</v>
      </c>
      <c r="J25" s="88">
        <v>1</v>
      </c>
      <c r="K25" s="65">
        <v>2</v>
      </c>
      <c r="L25" s="89">
        <f t="shared" si="0"/>
        <v>0</v>
      </c>
      <c r="M25" s="90">
        <v>0</v>
      </c>
      <c r="N25" s="91">
        <f t="shared" si="1"/>
        <v>0</v>
      </c>
      <c r="O25" s="92">
        <f t="shared" si="2"/>
        <v>0</v>
      </c>
    </row>
    <row r="26" spans="1:15" ht="15" thickBot="1" x14ac:dyDescent="0.35">
      <c r="A26" s="82" t="s">
        <v>113</v>
      </c>
      <c r="B26" s="83" t="s">
        <v>131</v>
      </c>
      <c r="C26" s="83" t="s">
        <v>18</v>
      </c>
      <c r="D26" s="84">
        <v>1.5</v>
      </c>
      <c r="E26" s="85">
        <v>0</v>
      </c>
      <c r="F26" s="86">
        <v>46192</v>
      </c>
      <c r="G26" s="86">
        <v>46192</v>
      </c>
      <c r="H26" s="87">
        <v>0</v>
      </c>
      <c r="I26" s="87">
        <v>0</v>
      </c>
      <c r="J26" s="88">
        <v>1</v>
      </c>
      <c r="K26" s="65">
        <v>1.5</v>
      </c>
      <c r="L26" s="89">
        <f t="shared" si="0"/>
        <v>0</v>
      </c>
      <c r="M26" s="90">
        <v>0</v>
      </c>
      <c r="N26" s="91">
        <f t="shared" si="1"/>
        <v>0</v>
      </c>
      <c r="O26" s="92">
        <f t="shared" si="2"/>
        <v>0</v>
      </c>
    </row>
    <row r="27" spans="1:15" ht="15" thickBot="1" x14ac:dyDescent="0.35">
      <c r="A27" s="82" t="s">
        <v>134</v>
      </c>
      <c r="B27" s="83" t="s">
        <v>135</v>
      </c>
      <c r="C27" s="83" t="s">
        <v>18</v>
      </c>
      <c r="D27" s="84">
        <v>1.5</v>
      </c>
      <c r="E27" s="85">
        <v>0</v>
      </c>
      <c r="F27" s="86">
        <v>46192</v>
      </c>
      <c r="G27" s="86">
        <v>46192</v>
      </c>
      <c r="H27" s="87">
        <v>0</v>
      </c>
      <c r="I27" s="87">
        <v>0</v>
      </c>
      <c r="J27" s="88">
        <v>1</v>
      </c>
      <c r="K27" s="65">
        <v>1.5</v>
      </c>
      <c r="L27" s="89">
        <f t="shared" si="0"/>
        <v>0</v>
      </c>
      <c r="M27" s="90">
        <v>0</v>
      </c>
      <c r="N27" s="91">
        <f t="shared" si="1"/>
        <v>0</v>
      </c>
      <c r="O27" s="92">
        <f t="shared" si="2"/>
        <v>0</v>
      </c>
    </row>
    <row r="28" spans="1:15" ht="15" thickBot="1" x14ac:dyDescent="0.35">
      <c r="A28" s="82"/>
      <c r="B28" s="83"/>
      <c r="C28" s="83"/>
      <c r="D28" s="85"/>
      <c r="E28" s="85"/>
      <c r="F28" s="93"/>
      <c r="G28" s="93"/>
      <c r="H28" s="87"/>
      <c r="I28" s="87"/>
      <c r="J28" s="88"/>
      <c r="K28" s="89"/>
      <c r="L28" s="89"/>
      <c r="M28" s="90"/>
      <c r="N28" s="91"/>
      <c r="O28" s="92"/>
    </row>
    <row r="29" spans="1:15" x14ac:dyDescent="0.3">
      <c r="A29" s="82"/>
      <c r="B29" s="83"/>
      <c r="C29" s="83"/>
      <c r="D29" s="85"/>
      <c r="E29" s="85"/>
      <c r="F29" s="93"/>
      <c r="G29" s="93"/>
      <c r="H29" s="87"/>
      <c r="I29" s="87"/>
      <c r="J29" s="88"/>
      <c r="K29" s="89"/>
      <c r="L29" s="89"/>
      <c r="M29" s="90"/>
      <c r="N29" s="91"/>
      <c r="O29" s="92"/>
    </row>
    <row r="30" spans="1:15" x14ac:dyDescent="0.3">
      <c r="A30" s="82"/>
      <c r="B30" s="83"/>
      <c r="C30" s="83"/>
      <c r="D30" s="85"/>
      <c r="E30" s="85"/>
      <c r="F30" s="93"/>
      <c r="G30" s="93"/>
      <c r="H30" s="87"/>
      <c r="I30" s="87"/>
      <c r="J30" s="88"/>
      <c r="K30" s="89"/>
      <c r="L30" s="89"/>
      <c r="M30" s="90"/>
      <c r="N30" s="91"/>
      <c r="O30" s="92"/>
    </row>
    <row r="31" spans="1:15" x14ac:dyDescent="0.3">
      <c r="A31" s="82"/>
      <c r="B31" s="83"/>
      <c r="C31" s="83"/>
      <c r="D31" s="85"/>
      <c r="E31" s="85"/>
      <c r="F31" s="93"/>
      <c r="G31" s="93"/>
      <c r="H31" s="87"/>
      <c r="I31" s="87"/>
      <c r="J31" s="88"/>
      <c r="K31" s="89"/>
      <c r="L31" s="89"/>
      <c r="M31" s="90"/>
      <c r="N31" s="91"/>
      <c r="O31" s="92"/>
    </row>
    <row r="32" spans="1:15" x14ac:dyDescent="0.3">
      <c r="A32" s="82"/>
      <c r="B32" s="83"/>
      <c r="C32" s="83"/>
      <c r="D32" s="85"/>
      <c r="E32" s="85"/>
      <c r="F32" s="93"/>
      <c r="G32" s="93"/>
      <c r="H32" s="87"/>
      <c r="I32" s="87"/>
      <c r="J32" s="88"/>
      <c r="K32" s="89"/>
      <c r="L32" s="89"/>
      <c r="M32" s="90"/>
      <c r="N32" s="91"/>
      <c r="O32" s="92"/>
    </row>
    <row r="33" spans="1:15" x14ac:dyDescent="0.3">
      <c r="A33" s="82"/>
      <c r="B33" s="83"/>
      <c r="C33" s="83"/>
      <c r="D33" s="85"/>
      <c r="E33" s="85"/>
      <c r="F33" s="93"/>
      <c r="G33" s="93"/>
      <c r="H33" s="87"/>
      <c r="I33" s="87"/>
      <c r="J33" s="88"/>
      <c r="K33" s="89"/>
      <c r="L33" s="89"/>
      <c r="M33" s="90"/>
      <c r="N33" s="91"/>
      <c r="O33" s="92"/>
    </row>
    <row r="34" spans="1:15" x14ac:dyDescent="0.3">
      <c r="A34" s="82"/>
      <c r="B34" s="83"/>
      <c r="C34" s="83"/>
      <c r="D34" s="85"/>
      <c r="E34" s="85"/>
      <c r="F34" s="93"/>
      <c r="G34" s="93"/>
      <c r="H34" s="87"/>
      <c r="I34" s="87"/>
      <c r="J34" s="88"/>
      <c r="K34" s="89"/>
      <c r="L34" s="89"/>
      <c r="M34" s="90"/>
      <c r="N34" s="91"/>
      <c r="O34" s="92"/>
    </row>
    <row r="35" spans="1:15" x14ac:dyDescent="0.3">
      <c r="A35" s="82"/>
      <c r="B35" s="83"/>
      <c r="C35" s="83"/>
      <c r="D35" s="85"/>
      <c r="E35" s="85"/>
      <c r="F35" s="93"/>
      <c r="G35" s="93"/>
      <c r="H35" s="87"/>
      <c r="I35" s="87"/>
      <c r="J35" s="88"/>
      <c r="K35" s="89"/>
      <c r="L35" s="89"/>
      <c r="M35" s="90"/>
      <c r="N35" s="91"/>
      <c r="O35" s="92"/>
    </row>
    <row r="36" spans="1:15" x14ac:dyDescent="0.3">
      <c r="A36" s="82"/>
      <c r="B36" s="83"/>
      <c r="C36" s="83"/>
      <c r="D36" s="85"/>
      <c r="E36" s="85"/>
      <c r="F36" s="93"/>
      <c r="G36" s="93"/>
      <c r="H36" s="87"/>
      <c r="I36" s="87"/>
      <c r="J36" s="88"/>
      <c r="K36" s="89"/>
      <c r="L36" s="89"/>
      <c r="M36" s="90"/>
      <c r="N36" s="91"/>
      <c r="O36" s="92"/>
    </row>
    <row r="37" spans="1:15" x14ac:dyDescent="0.3">
      <c r="A37" s="82"/>
      <c r="B37" s="83"/>
      <c r="C37" s="83"/>
      <c r="D37" s="85"/>
      <c r="E37" s="85"/>
      <c r="F37" s="93"/>
      <c r="G37" s="93"/>
      <c r="H37" s="87"/>
      <c r="I37" s="87"/>
      <c r="J37" s="88"/>
      <c r="K37" s="89"/>
      <c r="L37" s="89"/>
      <c r="M37" s="90"/>
      <c r="N37" s="91"/>
      <c r="O37" s="92"/>
    </row>
    <row r="38" spans="1:15" x14ac:dyDescent="0.3">
      <c r="A38" s="82"/>
      <c r="B38" s="83"/>
      <c r="C38" s="83"/>
      <c r="D38" s="85"/>
      <c r="E38" s="85"/>
      <c r="F38" s="93"/>
      <c r="G38" s="93"/>
      <c r="H38" s="87"/>
      <c r="I38" s="87"/>
      <c r="J38" s="88"/>
      <c r="K38" s="89"/>
      <c r="L38" s="89"/>
      <c r="M38" s="90"/>
      <c r="N38" s="91"/>
      <c r="O38" s="92"/>
    </row>
    <row r="39" spans="1:15" x14ac:dyDescent="0.3">
      <c r="A39" s="82"/>
      <c r="B39" s="83"/>
      <c r="C39" s="83"/>
      <c r="D39" s="85"/>
      <c r="E39" s="85"/>
      <c r="F39" s="93"/>
      <c r="G39" s="93"/>
      <c r="H39" s="87"/>
      <c r="I39" s="87"/>
      <c r="J39" s="88"/>
      <c r="K39" s="89"/>
      <c r="L39" s="89"/>
      <c r="M39" s="90"/>
      <c r="N39" s="91"/>
      <c r="O39" s="92"/>
    </row>
    <row r="40" spans="1:15" x14ac:dyDescent="0.3">
      <c r="A40" s="82"/>
      <c r="B40" s="83"/>
      <c r="C40" s="83"/>
      <c r="D40" s="85"/>
      <c r="E40" s="85"/>
      <c r="F40" s="93"/>
      <c r="G40" s="93"/>
      <c r="H40" s="87"/>
      <c r="I40" s="87"/>
      <c r="J40" s="88"/>
      <c r="K40" s="89"/>
      <c r="L40" s="89"/>
      <c r="M40" s="90"/>
      <c r="N40" s="91"/>
      <c r="O40" s="92"/>
    </row>
    <row r="41" spans="1:15" x14ac:dyDescent="0.3">
      <c r="A41" s="82"/>
      <c r="B41" s="83"/>
      <c r="C41" s="83"/>
      <c r="D41" s="85"/>
      <c r="E41" s="85"/>
      <c r="F41" s="93"/>
      <c r="G41" s="93"/>
      <c r="H41" s="87"/>
      <c r="I41" s="87"/>
      <c r="J41" s="88"/>
      <c r="K41" s="89"/>
      <c r="L41" s="89"/>
      <c r="M41" s="90"/>
      <c r="N41" s="91"/>
      <c r="O41" s="92"/>
    </row>
    <row r="42" spans="1:15" x14ac:dyDescent="0.3">
      <c r="A42" s="82"/>
      <c r="B42" s="83"/>
      <c r="C42" s="83"/>
      <c r="D42" s="85"/>
      <c r="E42" s="85"/>
      <c r="F42" s="93"/>
      <c r="G42" s="93"/>
      <c r="H42" s="87"/>
      <c r="I42" s="87"/>
      <c r="J42" s="88"/>
      <c r="K42" s="89"/>
      <c r="L42" s="89"/>
      <c r="M42" s="90"/>
      <c r="N42" s="91"/>
      <c r="O42" s="92"/>
    </row>
    <row r="43" spans="1:15" x14ac:dyDescent="0.3">
      <c r="A43" s="82"/>
      <c r="B43" s="83"/>
      <c r="C43" s="83"/>
      <c r="D43" s="85"/>
      <c r="E43" s="85"/>
      <c r="F43" s="93"/>
      <c r="G43" s="93"/>
      <c r="H43" s="87"/>
      <c r="I43" s="87"/>
      <c r="J43" s="88"/>
      <c r="K43" s="89"/>
      <c r="L43" s="89"/>
      <c r="M43" s="90"/>
      <c r="N43" s="91"/>
      <c r="O43" s="92"/>
    </row>
    <row r="44" spans="1:15" x14ac:dyDescent="0.3">
      <c r="A44" s="82"/>
      <c r="B44" s="83"/>
      <c r="C44" s="83"/>
      <c r="D44" s="85"/>
      <c r="E44" s="85"/>
      <c r="F44" s="93"/>
      <c r="G44" s="93"/>
      <c r="H44" s="87"/>
      <c r="I44" s="87"/>
      <c r="J44" s="88"/>
      <c r="K44" s="89"/>
      <c r="L44" s="89"/>
      <c r="M44" s="90"/>
      <c r="N44" s="91"/>
      <c r="O44" s="92"/>
    </row>
    <row r="45" spans="1:15" x14ac:dyDescent="0.3">
      <c r="A45" s="82"/>
      <c r="B45" s="83"/>
      <c r="C45" s="83"/>
      <c r="D45" s="85"/>
      <c r="E45" s="85"/>
      <c r="F45" s="93"/>
      <c r="G45" s="93"/>
      <c r="H45" s="87"/>
      <c r="I45" s="87"/>
      <c r="J45" s="88"/>
      <c r="K45" s="89"/>
      <c r="L45" s="89"/>
      <c r="M45" s="90"/>
      <c r="N45" s="91"/>
      <c r="O45" s="92"/>
    </row>
    <row r="46" spans="1:15" x14ac:dyDescent="0.3">
      <c r="A46" s="82"/>
      <c r="B46" s="83"/>
      <c r="C46" s="83"/>
      <c r="D46" s="85"/>
      <c r="E46" s="85"/>
      <c r="F46" s="93"/>
      <c r="G46" s="93"/>
      <c r="H46" s="87"/>
      <c r="I46" s="87"/>
      <c r="J46" s="88"/>
      <c r="K46" s="89"/>
      <c r="L46" s="89"/>
      <c r="M46" s="90"/>
      <c r="N46" s="91"/>
      <c r="O46" s="92"/>
    </row>
    <row r="47" spans="1:15" x14ac:dyDescent="0.3">
      <c r="A47" s="82"/>
      <c r="B47" s="83"/>
      <c r="C47" s="83"/>
      <c r="D47" s="85"/>
      <c r="E47" s="85"/>
      <c r="F47" s="93"/>
      <c r="G47" s="93"/>
      <c r="H47" s="87"/>
      <c r="I47" s="87"/>
      <c r="J47" s="88"/>
      <c r="K47" s="89"/>
      <c r="L47" s="89"/>
      <c r="M47" s="90"/>
      <c r="N47" s="91"/>
      <c r="O47" s="92"/>
    </row>
    <row r="48" spans="1:15" x14ac:dyDescent="0.3">
      <c r="A48" s="82"/>
      <c r="B48" s="83"/>
      <c r="C48" s="83"/>
      <c r="D48" s="85"/>
      <c r="E48" s="85"/>
      <c r="F48" s="93"/>
      <c r="G48" s="93"/>
      <c r="H48" s="87"/>
      <c r="I48" s="87"/>
      <c r="J48" s="88"/>
      <c r="K48" s="89"/>
      <c r="L48" s="89"/>
      <c r="M48" s="90"/>
      <c r="N48" s="91"/>
      <c r="O48" s="92"/>
    </row>
    <row r="49" spans="1:15" x14ac:dyDescent="0.3">
      <c r="A49" s="82"/>
      <c r="B49" s="83"/>
      <c r="C49" s="83"/>
      <c r="D49" s="85"/>
      <c r="E49" s="85"/>
      <c r="F49" s="93"/>
      <c r="G49" s="93"/>
      <c r="H49" s="87"/>
      <c r="I49" s="87"/>
      <c r="J49" s="88"/>
      <c r="K49" s="89"/>
      <c r="L49" s="89"/>
      <c r="M49" s="90"/>
      <c r="N49" s="91"/>
      <c r="O49" s="92"/>
    </row>
    <row r="50" spans="1:15" x14ac:dyDescent="0.3">
      <c r="A50" s="82"/>
      <c r="B50" s="83"/>
      <c r="C50" s="83"/>
      <c r="D50" s="85"/>
      <c r="E50" s="85"/>
      <c r="F50" s="93"/>
      <c r="G50" s="93"/>
      <c r="H50" s="87"/>
      <c r="I50" s="87"/>
      <c r="J50" s="88"/>
      <c r="K50" s="89"/>
      <c r="L50" s="89"/>
      <c r="M50" s="90"/>
      <c r="N50" s="91"/>
      <c r="O50" s="92"/>
    </row>
    <row r="51" spans="1:15" x14ac:dyDescent="0.3">
      <c r="A51" s="82"/>
      <c r="B51" s="83"/>
      <c r="C51" s="83"/>
      <c r="D51" s="85"/>
      <c r="E51" s="85"/>
      <c r="F51" s="93"/>
      <c r="G51" s="93"/>
      <c r="H51" s="87"/>
      <c r="I51" s="87"/>
      <c r="J51" s="88"/>
      <c r="K51" s="89"/>
      <c r="L51" s="89"/>
      <c r="M51" s="90"/>
      <c r="N51" s="91"/>
      <c r="O51" s="92"/>
    </row>
    <row r="52" spans="1:15" x14ac:dyDescent="0.3">
      <c r="A52" s="82"/>
      <c r="B52" s="83"/>
      <c r="C52" s="83"/>
      <c r="D52" s="85"/>
      <c r="E52" s="85"/>
      <c r="F52" s="93"/>
      <c r="G52" s="93"/>
      <c r="H52" s="87"/>
      <c r="I52" s="87"/>
      <c r="J52" s="88"/>
      <c r="K52" s="89"/>
      <c r="L52" s="89"/>
      <c r="M52" s="90"/>
      <c r="N52" s="91"/>
      <c r="O52" s="92"/>
    </row>
    <row r="53" spans="1:15" x14ac:dyDescent="0.3">
      <c r="A53" s="82"/>
      <c r="B53" s="83"/>
      <c r="C53" s="83"/>
      <c r="D53" s="85"/>
      <c r="E53" s="85"/>
      <c r="F53" s="93"/>
      <c r="G53" s="93"/>
      <c r="H53" s="87"/>
      <c r="I53" s="87"/>
      <c r="J53" s="88"/>
      <c r="K53" s="89"/>
      <c r="L53" s="89"/>
      <c r="M53" s="90"/>
      <c r="N53" s="91"/>
      <c r="O53" s="92"/>
    </row>
    <row r="54" spans="1:15" x14ac:dyDescent="0.3">
      <c r="A54" s="82"/>
      <c r="B54" s="83"/>
      <c r="C54" s="83"/>
      <c r="D54" s="85"/>
      <c r="E54" s="85"/>
      <c r="F54" s="93"/>
      <c r="G54" s="93"/>
      <c r="H54" s="87"/>
      <c r="I54" s="87"/>
      <c r="J54" s="88"/>
      <c r="K54" s="89"/>
      <c r="L54" s="89"/>
      <c r="M54" s="90"/>
      <c r="N54" s="91"/>
      <c r="O54" s="92"/>
    </row>
    <row r="55" spans="1:15" x14ac:dyDescent="0.3">
      <c r="A55" s="82"/>
      <c r="B55" s="83"/>
      <c r="C55" s="83"/>
      <c r="D55" s="85"/>
      <c r="E55" s="85"/>
      <c r="F55" s="93"/>
      <c r="G55" s="93"/>
      <c r="H55" s="87"/>
      <c r="I55" s="87"/>
      <c r="J55" s="88"/>
      <c r="K55" s="89"/>
      <c r="L55" s="89"/>
      <c r="M55" s="90"/>
      <c r="N55" s="91"/>
      <c r="O55" s="92"/>
    </row>
    <row r="56" spans="1:15" x14ac:dyDescent="0.3">
      <c r="A56" s="82"/>
      <c r="B56" s="83"/>
      <c r="C56" s="83"/>
      <c r="D56" s="85"/>
      <c r="E56" s="85"/>
      <c r="F56" s="93"/>
      <c r="G56" s="93"/>
      <c r="H56" s="87"/>
      <c r="I56" s="87"/>
      <c r="J56" s="88"/>
      <c r="K56" s="89"/>
      <c r="L56" s="89"/>
      <c r="M56" s="90"/>
      <c r="N56" s="91"/>
      <c r="O56" s="92"/>
    </row>
    <row r="57" spans="1:15" x14ac:dyDescent="0.3">
      <c r="A57" s="82"/>
      <c r="B57" s="83"/>
      <c r="C57" s="83"/>
      <c r="D57" s="85"/>
      <c r="E57" s="85"/>
      <c r="F57" s="93"/>
      <c r="G57" s="93"/>
      <c r="H57" s="87"/>
      <c r="I57" s="87"/>
      <c r="J57" s="88"/>
      <c r="K57" s="89"/>
      <c r="L57" s="89"/>
      <c r="M57" s="90"/>
      <c r="N57" s="91"/>
      <c r="O57" s="92"/>
    </row>
    <row r="58" spans="1:15" x14ac:dyDescent="0.3">
      <c r="A58" s="82"/>
      <c r="B58" s="83"/>
      <c r="C58" s="83"/>
      <c r="D58" s="85"/>
      <c r="E58" s="85"/>
      <c r="F58" s="93"/>
      <c r="G58" s="93"/>
      <c r="H58" s="87"/>
      <c r="I58" s="87"/>
      <c r="J58" s="88"/>
      <c r="K58" s="89"/>
      <c r="L58" s="89"/>
      <c r="M58" s="90"/>
      <c r="N58" s="91"/>
      <c r="O58" s="92"/>
    </row>
    <row r="59" spans="1:15" x14ac:dyDescent="0.3">
      <c r="A59" s="82"/>
      <c r="B59" s="83"/>
      <c r="C59" s="83"/>
      <c r="D59" s="85"/>
      <c r="E59" s="85"/>
      <c r="F59" s="93"/>
      <c r="G59" s="93"/>
      <c r="H59" s="87"/>
      <c r="I59" s="87"/>
      <c r="J59" s="88"/>
      <c r="K59" s="89"/>
      <c r="L59" s="89"/>
      <c r="M59" s="90"/>
      <c r="N59" s="91"/>
      <c r="O59" s="92"/>
    </row>
    <row r="60" spans="1:15" x14ac:dyDescent="0.3">
      <c r="A60" s="82"/>
      <c r="B60" s="83"/>
      <c r="C60" s="83"/>
      <c r="D60" s="85"/>
      <c r="E60" s="85"/>
      <c r="F60" s="93"/>
      <c r="G60" s="93"/>
      <c r="H60" s="87"/>
      <c r="I60" s="87"/>
      <c r="J60" s="88"/>
      <c r="K60" s="89"/>
      <c r="L60" s="89"/>
      <c r="M60" s="90"/>
      <c r="N60" s="91"/>
      <c r="O60" s="92"/>
    </row>
    <row r="61" spans="1:15" x14ac:dyDescent="0.3">
      <c r="A61" s="82"/>
      <c r="B61" s="83"/>
      <c r="C61" s="83"/>
      <c r="D61" s="85"/>
      <c r="E61" s="85"/>
      <c r="F61" s="93"/>
      <c r="G61" s="93"/>
      <c r="H61" s="87"/>
      <c r="I61" s="87"/>
      <c r="J61" s="88"/>
      <c r="K61" s="89"/>
      <c r="L61" s="89"/>
      <c r="M61" s="90"/>
      <c r="N61" s="91"/>
      <c r="O61" s="92"/>
    </row>
    <row r="62" spans="1:15" x14ac:dyDescent="0.3">
      <c r="A62" s="82"/>
      <c r="B62" s="83"/>
      <c r="C62" s="83"/>
      <c r="D62" s="85"/>
      <c r="E62" s="85"/>
      <c r="F62" s="93"/>
      <c r="G62" s="93"/>
      <c r="H62" s="87"/>
      <c r="I62" s="87"/>
      <c r="J62" s="88"/>
      <c r="K62" s="89"/>
      <c r="L62" s="89"/>
      <c r="M62" s="90"/>
      <c r="N62" s="91"/>
      <c r="O62" s="92"/>
    </row>
    <row r="63" spans="1:15" x14ac:dyDescent="0.3">
      <c r="A63" s="82"/>
      <c r="B63" s="83"/>
      <c r="C63" s="83"/>
      <c r="D63" s="85"/>
      <c r="E63" s="85"/>
      <c r="F63" s="93"/>
      <c r="G63" s="93"/>
      <c r="H63" s="87"/>
      <c r="I63" s="87"/>
      <c r="J63" s="88"/>
      <c r="K63" s="89"/>
      <c r="L63" s="89"/>
      <c r="M63" s="90"/>
      <c r="N63" s="91"/>
      <c r="O63" s="92"/>
    </row>
    <row r="64" spans="1:15" x14ac:dyDescent="0.3">
      <c r="A64" s="82"/>
      <c r="B64" s="83"/>
      <c r="C64" s="83"/>
      <c r="D64" s="85"/>
      <c r="E64" s="85"/>
      <c r="F64" s="93"/>
      <c r="G64" s="93"/>
      <c r="H64" s="87"/>
      <c r="I64" s="87"/>
      <c r="J64" s="88"/>
      <c r="K64" s="89"/>
      <c r="L64" s="89"/>
      <c r="M64" s="90"/>
      <c r="N64" s="91"/>
      <c r="O64" s="92"/>
    </row>
    <row r="65" spans="1:15" x14ac:dyDescent="0.3">
      <c r="A65" s="82"/>
      <c r="B65" s="83"/>
      <c r="C65" s="83"/>
      <c r="D65" s="85"/>
      <c r="E65" s="85"/>
      <c r="F65" s="93"/>
      <c r="G65" s="93"/>
      <c r="H65" s="87"/>
      <c r="I65" s="87"/>
      <c r="J65" s="88"/>
      <c r="K65" s="89"/>
      <c r="L65" s="89"/>
      <c r="M65" s="90"/>
      <c r="N65" s="91"/>
      <c r="O65" s="92"/>
    </row>
    <row r="66" spans="1:15" x14ac:dyDescent="0.3">
      <c r="A66" s="82"/>
      <c r="B66" s="83"/>
      <c r="C66" s="83"/>
      <c r="D66" s="85"/>
      <c r="E66" s="85"/>
      <c r="F66" s="93"/>
      <c r="G66" s="93"/>
      <c r="H66" s="87"/>
      <c r="I66" s="87"/>
      <c r="J66" s="88"/>
      <c r="K66" s="89"/>
      <c r="L66" s="89"/>
      <c r="M66" s="90"/>
      <c r="N66" s="91"/>
      <c r="O66" s="92"/>
    </row>
    <row r="67" spans="1:15" x14ac:dyDescent="0.3">
      <c r="A67" s="82"/>
      <c r="B67" s="83"/>
      <c r="C67" s="83"/>
      <c r="D67" s="85"/>
      <c r="E67" s="85"/>
      <c r="F67" s="93"/>
      <c r="G67" s="93"/>
      <c r="H67" s="87"/>
      <c r="I67" s="87"/>
      <c r="J67" s="88"/>
      <c r="K67" s="89"/>
      <c r="L67" s="89"/>
      <c r="M67" s="90"/>
      <c r="N67" s="91"/>
      <c r="O67" s="92"/>
    </row>
    <row r="68" spans="1:15" x14ac:dyDescent="0.3">
      <c r="A68" s="82"/>
      <c r="B68" s="83"/>
      <c r="C68" s="83"/>
      <c r="D68" s="85"/>
      <c r="E68" s="85"/>
      <c r="F68" s="93"/>
      <c r="G68" s="93"/>
      <c r="H68" s="87"/>
      <c r="I68" s="87"/>
      <c r="J68" s="88"/>
      <c r="K68" s="89"/>
      <c r="L68" s="89"/>
      <c r="M68" s="90"/>
      <c r="N68" s="91"/>
      <c r="O68" s="92"/>
    </row>
    <row r="69" spans="1:15" x14ac:dyDescent="0.3">
      <c r="A69" s="82"/>
      <c r="B69" s="83"/>
      <c r="C69" s="83"/>
      <c r="D69" s="85"/>
      <c r="E69" s="85"/>
      <c r="F69" s="93"/>
      <c r="G69" s="93"/>
      <c r="H69" s="87"/>
      <c r="I69" s="87"/>
      <c r="J69" s="88"/>
      <c r="K69" s="89"/>
      <c r="L69" s="89"/>
      <c r="M69" s="90"/>
      <c r="N69" s="91"/>
      <c r="O69" s="92"/>
    </row>
    <row r="70" spans="1:15" x14ac:dyDescent="0.3">
      <c r="A70" s="82"/>
      <c r="B70" s="83"/>
      <c r="C70" s="83"/>
      <c r="D70" s="85"/>
      <c r="E70" s="85"/>
      <c r="F70" s="93"/>
      <c r="G70" s="93"/>
      <c r="H70" s="87"/>
      <c r="I70" s="87"/>
      <c r="J70" s="88"/>
      <c r="K70" s="89"/>
      <c r="L70" s="89"/>
      <c r="M70" s="90"/>
      <c r="N70" s="91"/>
      <c r="O70" s="92"/>
    </row>
    <row r="71" spans="1:15" x14ac:dyDescent="0.3">
      <c r="A71" s="82"/>
      <c r="B71" s="83"/>
      <c r="C71" s="83"/>
      <c r="D71" s="85"/>
      <c r="E71" s="85"/>
      <c r="F71" s="93"/>
      <c r="G71" s="93"/>
      <c r="H71" s="87"/>
      <c r="I71" s="87"/>
      <c r="J71" s="88"/>
      <c r="K71" s="89"/>
      <c r="L71" s="89"/>
      <c r="M71" s="90"/>
      <c r="N71" s="91"/>
      <c r="O71" s="92"/>
    </row>
    <row r="72" spans="1:15" x14ac:dyDescent="0.3">
      <c r="A72" s="82"/>
      <c r="B72" s="83"/>
      <c r="C72" s="83"/>
      <c r="D72" s="85"/>
      <c r="E72" s="85"/>
      <c r="F72" s="93"/>
      <c r="G72" s="93"/>
      <c r="H72" s="87"/>
      <c r="I72" s="87"/>
      <c r="J72" s="88"/>
      <c r="K72" s="89"/>
      <c r="L72" s="89"/>
      <c r="M72" s="90"/>
      <c r="N72" s="91"/>
      <c r="O72" s="92"/>
    </row>
    <row r="73" spans="1:15" x14ac:dyDescent="0.3">
      <c r="A73" s="82"/>
      <c r="B73" s="83"/>
      <c r="C73" s="83"/>
      <c r="D73" s="85"/>
      <c r="E73" s="85"/>
      <c r="F73" s="93"/>
      <c r="G73" s="93"/>
      <c r="H73" s="87"/>
      <c r="I73" s="87"/>
      <c r="J73" s="88"/>
      <c r="K73" s="89"/>
      <c r="L73" s="89"/>
      <c r="M73" s="90"/>
      <c r="N73" s="91"/>
      <c r="O73" s="92"/>
    </row>
    <row r="74" spans="1:15" x14ac:dyDescent="0.3">
      <c r="A74" s="82"/>
      <c r="B74" s="83"/>
      <c r="C74" s="83"/>
      <c r="D74" s="85"/>
      <c r="E74" s="85"/>
      <c r="F74" s="93"/>
      <c r="G74" s="93"/>
      <c r="H74" s="87"/>
      <c r="I74" s="87"/>
      <c r="J74" s="88"/>
      <c r="K74" s="89"/>
      <c r="L74" s="89"/>
      <c r="M74" s="90"/>
      <c r="N74" s="91"/>
      <c r="O74" s="92"/>
    </row>
    <row r="75" spans="1:15" x14ac:dyDescent="0.3">
      <c r="A75" s="82"/>
      <c r="B75" s="83"/>
      <c r="C75" s="83"/>
      <c r="D75" s="85"/>
      <c r="E75" s="85"/>
      <c r="F75" s="93"/>
      <c r="G75" s="93"/>
      <c r="H75" s="87"/>
      <c r="I75" s="87"/>
      <c r="J75" s="88"/>
      <c r="K75" s="89"/>
      <c r="L75" s="89"/>
      <c r="M75" s="90"/>
      <c r="N75" s="91"/>
      <c r="O75" s="92"/>
    </row>
    <row r="76" spans="1:15" x14ac:dyDescent="0.3">
      <c r="A76" s="82"/>
      <c r="B76" s="83"/>
      <c r="C76" s="83"/>
      <c r="D76" s="85"/>
      <c r="E76" s="85"/>
      <c r="F76" s="93"/>
      <c r="G76" s="93"/>
      <c r="H76" s="87"/>
      <c r="I76" s="87"/>
      <c r="J76" s="88"/>
      <c r="K76" s="89"/>
      <c r="L76" s="89"/>
      <c r="M76" s="90"/>
      <c r="N76" s="91"/>
      <c r="O76" s="92"/>
    </row>
    <row r="77" spans="1:15" x14ac:dyDescent="0.3">
      <c r="A77" s="82"/>
      <c r="B77" s="83"/>
      <c r="C77" s="83"/>
      <c r="D77" s="85"/>
      <c r="E77" s="85"/>
      <c r="F77" s="93"/>
      <c r="G77" s="93"/>
      <c r="H77" s="87"/>
      <c r="I77" s="87"/>
      <c r="J77" s="88"/>
      <c r="K77" s="89"/>
      <c r="L77" s="89"/>
      <c r="M77" s="90"/>
      <c r="N77" s="91"/>
      <c r="O77" s="92"/>
    </row>
    <row r="78" spans="1:15" x14ac:dyDescent="0.3">
      <c r="A78" s="82"/>
      <c r="B78" s="83"/>
      <c r="C78" s="83"/>
      <c r="D78" s="85"/>
      <c r="E78" s="85"/>
      <c r="F78" s="93"/>
      <c r="G78" s="93"/>
      <c r="H78" s="87"/>
      <c r="I78" s="87"/>
      <c r="J78" s="88"/>
      <c r="K78" s="89"/>
      <c r="L78" s="89"/>
      <c r="M78" s="90"/>
      <c r="N78" s="91"/>
      <c r="O78" s="92"/>
    </row>
    <row r="79" spans="1:15" x14ac:dyDescent="0.3">
      <c r="A79" s="82"/>
      <c r="B79" s="83"/>
      <c r="C79" s="83"/>
      <c r="D79" s="85"/>
      <c r="E79" s="85"/>
      <c r="F79" s="93"/>
      <c r="G79" s="93"/>
      <c r="H79" s="87"/>
      <c r="I79" s="87"/>
      <c r="J79" s="88"/>
      <c r="K79" s="89"/>
      <c r="L79" s="89"/>
      <c r="M79" s="90"/>
      <c r="N79" s="91"/>
      <c r="O79" s="92"/>
    </row>
    <row r="80" spans="1:15" x14ac:dyDescent="0.3">
      <c r="A80" s="82"/>
      <c r="B80" s="83"/>
      <c r="C80" s="83"/>
      <c r="D80" s="85"/>
      <c r="E80" s="85"/>
      <c r="F80" s="93"/>
      <c r="G80" s="93"/>
      <c r="H80" s="87"/>
      <c r="I80" s="87"/>
      <c r="J80" s="88"/>
      <c r="K80" s="89"/>
      <c r="L80" s="89"/>
      <c r="M80" s="90"/>
      <c r="N80" s="91"/>
      <c r="O80" s="92"/>
    </row>
    <row r="81" spans="1:15" x14ac:dyDescent="0.3">
      <c r="A81" s="82"/>
      <c r="B81" s="83"/>
      <c r="C81" s="83"/>
      <c r="D81" s="85"/>
      <c r="E81" s="85"/>
      <c r="F81" s="93"/>
      <c r="G81" s="93"/>
      <c r="H81" s="87"/>
      <c r="I81" s="87"/>
      <c r="J81" s="88"/>
      <c r="K81" s="89"/>
      <c r="L81" s="89"/>
      <c r="M81" s="90"/>
      <c r="N81" s="91"/>
      <c r="O81" s="92"/>
    </row>
    <row r="82" spans="1:15" x14ac:dyDescent="0.3">
      <c r="A82" s="82"/>
      <c r="B82" s="83"/>
      <c r="C82" s="83"/>
      <c r="D82" s="85"/>
      <c r="E82" s="85"/>
      <c r="F82" s="93"/>
      <c r="G82" s="93"/>
      <c r="H82" s="87"/>
      <c r="I82" s="87"/>
      <c r="J82" s="88"/>
      <c r="K82" s="89"/>
      <c r="L82" s="89"/>
      <c r="M82" s="90"/>
      <c r="N82" s="91"/>
      <c r="O82" s="92"/>
    </row>
    <row r="83" spans="1:15" x14ac:dyDescent="0.3">
      <c r="A83" s="82"/>
      <c r="B83" s="83"/>
      <c r="C83" s="83"/>
      <c r="D83" s="85"/>
      <c r="E83" s="85"/>
      <c r="F83" s="93"/>
      <c r="G83" s="93"/>
      <c r="H83" s="87"/>
      <c r="I83" s="87"/>
      <c r="J83" s="88"/>
      <c r="K83" s="89"/>
      <c r="L83" s="89"/>
      <c r="M83" s="90"/>
      <c r="N83" s="91"/>
      <c r="O83" s="92"/>
    </row>
    <row r="84" spans="1:15" x14ac:dyDescent="0.3">
      <c r="A84" s="82"/>
      <c r="B84" s="83"/>
      <c r="C84" s="83"/>
      <c r="D84" s="85"/>
      <c r="E84" s="85"/>
      <c r="F84" s="93"/>
      <c r="G84" s="93"/>
      <c r="H84" s="87"/>
      <c r="I84" s="87"/>
      <c r="J84" s="88"/>
      <c r="K84" s="89"/>
      <c r="L84" s="89"/>
      <c r="M84" s="90"/>
      <c r="N84" s="91"/>
      <c r="O84" s="92"/>
    </row>
    <row r="85" spans="1:15" x14ac:dyDescent="0.3">
      <c r="A85" s="82"/>
      <c r="B85" s="83"/>
      <c r="C85" s="83"/>
      <c r="D85" s="85"/>
      <c r="E85" s="85"/>
      <c r="F85" s="93"/>
      <c r="G85" s="93"/>
      <c r="H85" s="87"/>
      <c r="I85" s="87"/>
      <c r="J85" s="88"/>
      <c r="K85" s="89"/>
      <c r="L85" s="89"/>
      <c r="M85" s="90"/>
      <c r="N85" s="91"/>
      <c r="O85" s="92"/>
    </row>
    <row r="86" spans="1:15" x14ac:dyDescent="0.3">
      <c r="A86" s="82"/>
      <c r="B86" s="83"/>
      <c r="C86" s="83"/>
      <c r="D86" s="85"/>
      <c r="E86" s="85"/>
      <c r="F86" s="93"/>
      <c r="G86" s="93"/>
      <c r="H86" s="87"/>
      <c r="I86" s="87"/>
      <c r="J86" s="88"/>
      <c r="K86" s="89"/>
      <c r="L86" s="89"/>
      <c r="M86" s="90"/>
      <c r="N86" s="91"/>
      <c r="O86" s="92"/>
    </row>
    <row r="87" spans="1:15" x14ac:dyDescent="0.3">
      <c r="A87" s="82"/>
      <c r="B87" s="83"/>
      <c r="C87" s="83"/>
      <c r="D87" s="85"/>
      <c r="E87" s="85"/>
      <c r="F87" s="93"/>
      <c r="G87" s="93"/>
      <c r="H87" s="87"/>
      <c r="I87" s="87"/>
      <c r="J87" s="88"/>
      <c r="K87" s="89"/>
      <c r="L87" s="89"/>
      <c r="M87" s="90"/>
      <c r="N87" s="91"/>
      <c r="O87" s="92"/>
    </row>
    <row r="88" spans="1:15" x14ac:dyDescent="0.3">
      <c r="A88" s="82"/>
      <c r="B88" s="83"/>
      <c r="C88" s="83"/>
      <c r="D88" s="85"/>
      <c r="E88" s="85"/>
      <c r="F88" s="93"/>
      <c r="G88" s="93"/>
      <c r="H88" s="87"/>
      <c r="I88" s="87"/>
      <c r="J88" s="88"/>
      <c r="K88" s="89"/>
      <c r="L88" s="89"/>
      <c r="M88" s="90"/>
      <c r="N88" s="91"/>
      <c r="O88" s="92"/>
    </row>
    <row r="89" spans="1:15" x14ac:dyDescent="0.3">
      <c r="A89" s="82"/>
      <c r="B89" s="83"/>
      <c r="C89" s="83"/>
      <c r="D89" s="85"/>
      <c r="E89" s="85"/>
      <c r="F89" s="93"/>
      <c r="G89" s="93"/>
      <c r="H89" s="87"/>
      <c r="I89" s="87"/>
      <c r="J89" s="88"/>
      <c r="K89" s="89"/>
      <c r="L89" s="89"/>
      <c r="M89" s="90"/>
      <c r="N89" s="91"/>
      <c r="O89" s="92"/>
    </row>
    <row r="90" spans="1:15" x14ac:dyDescent="0.3">
      <c r="A90" s="82"/>
      <c r="B90" s="83"/>
      <c r="C90" s="83"/>
      <c r="D90" s="85"/>
      <c r="E90" s="85"/>
      <c r="F90" s="93"/>
      <c r="G90" s="93"/>
      <c r="H90" s="87"/>
      <c r="I90" s="87"/>
      <c r="J90" s="88"/>
      <c r="K90" s="89"/>
      <c r="L90" s="89"/>
      <c r="M90" s="90"/>
      <c r="N90" s="91"/>
      <c r="O90" s="92"/>
    </row>
    <row r="91" spans="1:15" x14ac:dyDescent="0.3">
      <c r="A91" s="82"/>
      <c r="B91" s="83"/>
      <c r="C91" s="83"/>
      <c r="D91" s="85"/>
      <c r="E91" s="85"/>
      <c r="F91" s="93"/>
      <c r="G91" s="93"/>
      <c r="H91" s="87"/>
      <c r="I91" s="87"/>
      <c r="J91" s="88"/>
      <c r="K91" s="89"/>
      <c r="L91" s="89"/>
      <c r="M91" s="90"/>
      <c r="N91" s="91"/>
      <c r="O91" s="92"/>
    </row>
    <row r="92" spans="1:15" x14ac:dyDescent="0.3">
      <c r="A92" s="82"/>
      <c r="B92" s="83"/>
      <c r="C92" s="83"/>
      <c r="D92" s="85"/>
      <c r="E92" s="85"/>
      <c r="F92" s="93"/>
      <c r="G92" s="93"/>
      <c r="H92" s="87"/>
      <c r="I92" s="87"/>
      <c r="J92" s="88"/>
      <c r="K92" s="89"/>
      <c r="L92" s="89"/>
      <c r="M92" s="90"/>
      <c r="N92" s="91"/>
      <c r="O92" s="92"/>
    </row>
    <row r="93" spans="1:15" x14ac:dyDescent="0.3">
      <c r="A93" s="82"/>
      <c r="B93" s="83"/>
      <c r="C93" s="83"/>
      <c r="D93" s="85"/>
      <c r="E93" s="85"/>
      <c r="F93" s="93"/>
      <c r="G93" s="93"/>
      <c r="H93" s="87"/>
      <c r="I93" s="87"/>
      <c r="J93" s="88"/>
      <c r="K93" s="89"/>
      <c r="L93" s="89"/>
      <c r="M93" s="90"/>
      <c r="N93" s="91"/>
      <c r="O93" s="92"/>
    </row>
    <row r="94" spans="1:15" x14ac:dyDescent="0.3">
      <c r="A94" s="82"/>
      <c r="B94" s="83"/>
      <c r="C94" s="83"/>
      <c r="D94" s="85"/>
      <c r="E94" s="85"/>
      <c r="F94" s="93"/>
      <c r="G94" s="93"/>
      <c r="H94" s="87"/>
      <c r="I94" s="87"/>
      <c r="J94" s="88"/>
      <c r="K94" s="89"/>
      <c r="L94" s="89"/>
      <c r="M94" s="90"/>
      <c r="N94" s="91"/>
      <c r="O94" s="92"/>
    </row>
    <row r="95" spans="1:15" x14ac:dyDescent="0.3">
      <c r="A95" s="82"/>
      <c r="B95" s="83"/>
      <c r="C95" s="83"/>
      <c r="D95" s="85"/>
      <c r="E95" s="85"/>
      <c r="F95" s="93"/>
      <c r="G95" s="93"/>
      <c r="H95" s="87"/>
      <c r="I95" s="87"/>
      <c r="J95" s="88"/>
      <c r="K95" s="89"/>
      <c r="L95" s="89"/>
      <c r="M95" s="90"/>
      <c r="N95" s="91"/>
      <c r="O95" s="92"/>
    </row>
    <row r="96" spans="1:15" x14ac:dyDescent="0.3">
      <c r="A96" s="82"/>
      <c r="B96" s="83"/>
      <c r="C96" s="83"/>
      <c r="D96" s="85"/>
      <c r="E96" s="85"/>
      <c r="F96" s="93"/>
      <c r="G96" s="93"/>
      <c r="H96" s="87"/>
      <c r="I96" s="87"/>
      <c r="J96" s="88"/>
      <c r="K96" s="89"/>
      <c r="L96" s="89"/>
      <c r="M96" s="90"/>
      <c r="N96" s="91"/>
      <c r="O96" s="92"/>
    </row>
    <row r="97" spans="1:15" x14ac:dyDescent="0.3">
      <c r="A97" s="82"/>
      <c r="B97" s="83"/>
      <c r="C97" s="83"/>
      <c r="D97" s="85"/>
      <c r="E97" s="85"/>
      <c r="F97" s="93"/>
      <c r="G97" s="93"/>
      <c r="H97" s="87"/>
      <c r="I97" s="87"/>
      <c r="J97" s="88"/>
      <c r="K97" s="89"/>
      <c r="L97" s="89"/>
      <c r="M97" s="90"/>
      <c r="N97" s="91"/>
      <c r="O97" s="92"/>
    </row>
    <row r="98" spans="1:15" x14ac:dyDescent="0.3">
      <c r="A98" s="82"/>
      <c r="B98" s="83"/>
      <c r="C98" s="83"/>
      <c r="D98" s="85"/>
      <c r="E98" s="85"/>
      <c r="F98" s="93"/>
      <c r="G98" s="93"/>
      <c r="H98" s="87"/>
      <c r="I98" s="87"/>
      <c r="J98" s="88"/>
      <c r="K98" s="89"/>
      <c r="L98" s="89"/>
      <c r="M98" s="90"/>
      <c r="N98" s="91"/>
      <c r="O98" s="92"/>
    </row>
    <row r="99" spans="1:15" x14ac:dyDescent="0.3">
      <c r="A99" s="82"/>
      <c r="B99" s="83"/>
      <c r="C99" s="83"/>
      <c r="D99" s="85"/>
      <c r="E99" s="85"/>
      <c r="F99" s="93"/>
      <c r="G99" s="93"/>
      <c r="H99" s="87"/>
      <c r="I99" s="87"/>
      <c r="J99" s="88"/>
      <c r="K99" s="89"/>
      <c r="L99" s="89"/>
      <c r="M99" s="90"/>
      <c r="N99" s="91"/>
      <c r="O99" s="92"/>
    </row>
    <row r="100" spans="1:15" ht="15.75" customHeight="1" thickBot="1" x14ac:dyDescent="0.35">
      <c r="A100" s="82"/>
      <c r="B100" s="83"/>
      <c r="C100" s="83"/>
      <c r="D100" s="85"/>
      <c r="E100" s="85"/>
      <c r="F100" s="93"/>
      <c r="G100" s="93"/>
      <c r="H100" s="87"/>
      <c r="I100" s="87"/>
      <c r="J100" s="88"/>
      <c r="K100" s="89"/>
      <c r="L100" s="89"/>
      <c r="M100" s="90"/>
      <c r="N100" s="91"/>
      <c r="O100" s="92"/>
    </row>
  </sheetData>
  <autoFilter ref="A3:O100" xr:uid="{00000000-0009-0000-0000-000002000000}"/>
  <mergeCells count="5">
    <mergeCell ref="H2:I2"/>
    <mergeCell ref="D1:E1"/>
    <mergeCell ref="K2:L2"/>
    <mergeCell ref="N2:O2"/>
    <mergeCell ref="A1:B1"/>
  </mergeCell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Arbeitspakete</vt:lpstr>
      <vt:lpstr>Gantt Diagramm</vt:lpstr>
      <vt:lpstr>Earned Value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BBZW-Sursee;Suter Ramon (Lehrperson)</dc:creator>
  <cp:lastModifiedBy>FMZ; Tomovski Boris</cp:lastModifiedBy>
  <dcterms:created xsi:type="dcterms:W3CDTF">2021-11-11T12:21:00Z</dcterms:created>
  <dcterms:modified xsi:type="dcterms:W3CDTF">2026-05-17T21:55:55Z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</Properties>
</file>