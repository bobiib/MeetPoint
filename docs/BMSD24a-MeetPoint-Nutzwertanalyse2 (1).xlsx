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17"/>
  <workbookPr showInkAnnotation="0" autoCompressPictures="0"/>
  <mc:AlternateContent xmlns:mc="http://schemas.openxmlformats.org/markup-compatibility/2006">
    <mc:Choice Requires="x15">
      <x15ac:absPath xmlns:x15ac="http://schemas.microsoft.com/office/spreadsheetml/2010/11/ac" url="https://sluz-my.sharepoint.com/personal/noel_wenger_sluz_ch/Documents/"/>
    </mc:Choice>
  </mc:AlternateContent>
  <xr:revisionPtr revIDLastSave="61" documentId="8_{A277593E-F479-4A53-BE4C-20FD6B09995E}" xr6:coauthVersionLast="47" xr6:coauthVersionMax="47" xr10:uidLastSave="{D3F60AE3-38FB-465C-8109-8910C29A6A86}"/>
  <bookViews>
    <workbookView xWindow="-110" yWindow="-110" windowWidth="19420" windowHeight="11500" tabRatio="500" xr2:uid="{00000000-000D-0000-FFFF-FFFF00000000}"/>
  </bookViews>
  <sheets>
    <sheet name="Nutzwertanalyse" sheetId="1" r:id="rId1"/>
    <sheet name="Bewertungsschema"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8" i="1" l="1"/>
  <c r="B4" i="2"/>
  <c r="B8" i="2"/>
  <c r="B9" i="2"/>
  <c r="B10" i="2"/>
  <c r="B11" i="2"/>
  <c r="B12" i="2"/>
  <c r="B13" i="2"/>
  <c r="B14" i="2"/>
  <c r="B15" i="2"/>
  <c r="B16" i="2"/>
  <c r="B7" i="2"/>
  <c r="B5" i="2"/>
  <c r="E14" i="1"/>
  <c r="E13" i="1"/>
  <c r="E12" i="1"/>
  <c r="C15" i="1"/>
  <c r="G14" i="1"/>
  <c r="I14" i="1"/>
  <c r="G13" i="1"/>
  <c r="I13" i="1"/>
  <c r="G12" i="1"/>
  <c r="I12" i="1"/>
  <c r="I9" i="1"/>
  <c r="I10" i="1"/>
  <c r="I11" i="1"/>
  <c r="G9" i="1"/>
  <c r="G10" i="1"/>
  <c r="G11" i="1"/>
  <c r="G8" i="1"/>
  <c r="E9" i="1"/>
  <c r="E10" i="1"/>
  <c r="E11" i="1"/>
  <c r="E8" i="1"/>
  <c r="I15" i="1" l="1"/>
  <c r="E15" i="1"/>
  <c r="G15" i="1"/>
</calcChain>
</file>

<file path=xl/sharedStrings.xml><?xml version="1.0" encoding="utf-8"?>
<sst xmlns="http://schemas.openxmlformats.org/spreadsheetml/2006/main" count="35" uniqueCount="30">
  <si>
    <t>Nutzwertanalyse</t>
  </si>
  <si>
    <t>MeetPoint</t>
  </si>
  <si>
    <t>Auswahl der geeignetsten Entwicklungsumgebung und der passenden Tools für die Umsetzung der Webapplikation MeetPoint.</t>
  </si>
  <si>
    <t>Kriterium</t>
  </si>
  <si>
    <t>Gewichtung</t>
  </si>
  <si>
    <t>WebStorm + Dbeaver</t>
  </si>
  <si>
    <t>VS Code + pgAdmin</t>
  </si>
  <si>
    <t>IntelliJ IDEA + Dbeaver</t>
  </si>
  <si>
    <t>Punkte</t>
  </si>
  <si>
    <t>Nutzwert</t>
  </si>
  <si>
    <t>Benutzerfreundlichkeit</t>
  </si>
  <si>
    <t>Einarbeitungsaufwand</t>
  </si>
  <si>
    <t>Datenbankunterstützung</t>
  </si>
  <si>
    <t>Zusammenarbeit im Team</t>
  </si>
  <si>
    <t>Performance / Schnelligkeit</t>
  </si>
  <si>
    <t>Lizenz / Kosten</t>
  </si>
  <si>
    <t>Installationsaufwand</t>
  </si>
  <si>
    <t>Summe</t>
  </si>
  <si>
    <t>Wir nehmen als finale Lösung WebStorm + DBeaver.
Begründung:
Diese Kombination passt am besten zu unserem Projekt MeetPoint, weil WebStorm sehr gut für die Entwicklung von Webapplikationen geeignet ist und eine übersichtliche Arbeitsumgebung bietet. DBeaver unterstützt uns zusätzlich bei der Arbeit mit der Datenbank und macht die Verwaltung von PostgreSQL einfacher und klarer. Insgesamt ist diese Lösung für unser Projekt passend, weil sie benutzerfreundlich ist, die Entwicklung erleichtert und gut zu den Anforderungen unseres Projektauftrags passt.</t>
  </si>
  <si>
    <t>Bewertungsschema</t>
  </si>
  <si>
    <r>
      <t xml:space="preserve">Schlecht
</t>
    </r>
    <r>
      <rPr>
        <sz val="12"/>
        <color theme="0"/>
        <rFont val="Segoe UI"/>
        <family val="2"/>
      </rPr>
      <t>( 0 )</t>
    </r>
  </si>
  <si>
    <r>
      <t xml:space="preserve">Ungenügend
</t>
    </r>
    <r>
      <rPr>
        <sz val="12"/>
        <color theme="0"/>
        <rFont val="Segoe UI"/>
        <family val="2"/>
      </rPr>
      <t>( 1 bis 2 )</t>
    </r>
  </si>
  <si>
    <r>
      <t xml:space="preserve">Genügend
</t>
    </r>
    <r>
      <rPr>
        <sz val="12"/>
        <color theme="0"/>
        <rFont val="Segoe UI"/>
        <family val="2"/>
      </rPr>
      <t>( 3 bis 5 )</t>
    </r>
  </si>
  <si>
    <r>
      <t xml:space="preserve">Gut
</t>
    </r>
    <r>
      <rPr>
        <sz val="12"/>
        <color theme="0"/>
        <rFont val="Segoe UI"/>
        <family val="2"/>
      </rPr>
      <t>( 6 bis 8 )</t>
    </r>
  </si>
  <si>
    <r>
      <t xml:space="preserve">Sehr gut
</t>
    </r>
    <r>
      <rPr>
        <sz val="12"/>
        <color theme="0"/>
        <rFont val="Segoe UI"/>
        <family val="2"/>
      </rPr>
      <t>( 9 bis 10 )</t>
    </r>
  </si>
  <si>
    <t>&gt; CHF 20'000.-</t>
  </si>
  <si>
    <t>CHF 20'000 bis 15'001.-</t>
  </si>
  <si>
    <t>CHF 15'000 bis 12'001.-</t>
  </si>
  <si>
    <t>CHF 12'000 bis 10'000.-</t>
  </si>
  <si>
    <t>&lt; CHF 10'000.-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</si>
</sst>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0_ ;[Red]\-#,##0\ "/>
  </numFmts>
  <fonts count="9">
    <font>
      <sz val="12"/>
      <color theme="1"/>
      <name val="Calibri"/>
      <family val="2"/>
      <scheme val="minor"/>
    </font>
    <font>
      <u/>
      <sz val="12"/>
      <color theme="10"/>
      <name val="Calibri"/>
      <family val="2"/>
      <scheme val="minor"/>
    </font>
    <font>
      <u/>
      <sz val="12"/>
      <color theme="11"/>
      <name val="Calibri"/>
      <family val="2"/>
      <scheme val="minor"/>
    </font>
    <font>
      <sz val="12"/>
      <color theme="1"/>
      <name val="Calibri"/>
      <family val="2"/>
      <scheme val="minor"/>
    </font>
    <font>
      <b/>
      <sz val="12"/>
      <color theme="0"/>
      <name val="Segoe UI"/>
      <family val="2"/>
    </font>
    <font>
      <sz val="12"/>
      <color theme="0"/>
      <name val="Segoe UI"/>
      <family val="2"/>
    </font>
    <font>
      <sz val="8"/>
      <name val="Calibri"/>
      <family val="2"/>
      <scheme val="minor"/>
    </font>
    <font>
      <b/>
      <sz val="12"/>
      <color theme="4" tint="-0.499984740745262"/>
      <name val="Segoe UI"/>
      <family val="2"/>
    </font>
    <font>
      <sz val="12"/>
      <color theme="4" tint="-0.499984740745262"/>
      <name val="Segoe UI"/>
      <family val="2"/>
    </font>
  </fonts>
  <fills count="6">
    <fill>
      <patternFill patternType="none"/>
    </fill>
    <fill>
      <patternFill patternType="gray125"/>
    </fill>
    <fill>
      <patternFill patternType="solid">
        <fgColor theme="0" tint="-4.9989318521683403E-2"/>
        <bgColor indexed="64"/>
      </patternFill>
    </fill>
    <fill>
      <patternFill patternType="solid">
        <fgColor theme="0" tint="-4.9989318521683403E-2"/>
        <bgColor rgb="FF000000"/>
      </patternFill>
    </fill>
    <fill>
      <patternFill patternType="solid">
        <fgColor theme="4" tint="-0.499984740745262"/>
        <bgColor rgb="FF000000"/>
      </patternFill>
    </fill>
    <fill>
      <patternFill patternType="solid">
        <fgColor theme="4" tint="-0.499984740745262"/>
        <bgColor indexed="64"/>
      </patternFill>
    </fill>
  </fills>
  <borders count="13">
    <border>
      <left/>
      <right/>
      <top/>
      <bottom/>
      <diagonal/>
    </border>
    <border>
      <left style="thin">
        <color theme="0"/>
      </left>
      <right style="thin">
        <color theme="0"/>
      </right>
      <top style="thin">
        <color theme="0"/>
      </top>
      <bottom style="thin">
        <color theme="0"/>
      </bottom>
      <diagonal/>
    </border>
    <border>
      <left style="medium">
        <color theme="3" tint="-0.499984740745262"/>
      </left>
      <right style="thin">
        <color theme="0"/>
      </right>
      <top style="medium">
        <color theme="3" tint="-0.499984740745262"/>
      </top>
      <bottom style="thin">
        <color theme="0"/>
      </bottom>
      <diagonal/>
    </border>
    <border>
      <left style="thin">
        <color theme="0"/>
      </left>
      <right style="thin">
        <color theme="0"/>
      </right>
      <top style="medium">
        <color theme="3" tint="-0.499984740745262"/>
      </top>
      <bottom style="thin">
        <color theme="0"/>
      </bottom>
      <diagonal/>
    </border>
    <border>
      <left style="thin">
        <color theme="0"/>
      </left>
      <right style="medium">
        <color theme="3" tint="-0.499984740745262"/>
      </right>
      <top style="medium">
        <color theme="3" tint="-0.499984740745262"/>
      </top>
      <bottom style="thin">
        <color theme="0"/>
      </bottom>
      <diagonal/>
    </border>
    <border>
      <left style="medium">
        <color theme="3" tint="-0.499984740745262"/>
      </left>
      <right style="thin">
        <color theme="0"/>
      </right>
      <top style="thin">
        <color theme="0"/>
      </top>
      <bottom style="thin">
        <color theme="0"/>
      </bottom>
      <diagonal/>
    </border>
    <border>
      <left style="thin">
        <color theme="0"/>
      </left>
      <right style="medium">
        <color theme="3" tint="-0.499984740745262"/>
      </right>
      <top style="thin">
        <color theme="0"/>
      </top>
      <bottom style="thin">
        <color theme="0"/>
      </bottom>
      <diagonal/>
    </border>
    <border>
      <left style="medium">
        <color theme="3" tint="-0.499984740745262"/>
      </left>
      <right style="thin">
        <color theme="0"/>
      </right>
      <top style="thin">
        <color theme="0"/>
      </top>
      <bottom style="medium">
        <color theme="3" tint="-0.499984740745262"/>
      </bottom>
      <diagonal/>
    </border>
    <border>
      <left style="thin">
        <color theme="0"/>
      </left>
      <right style="thin">
        <color theme="0"/>
      </right>
      <top style="thin">
        <color theme="0"/>
      </top>
      <bottom style="medium">
        <color theme="3" tint="-0.499984740745262"/>
      </bottom>
      <diagonal/>
    </border>
    <border>
      <left style="thin">
        <color theme="0"/>
      </left>
      <right style="medium">
        <color theme="3" tint="-0.499984740745262"/>
      </right>
      <top style="thin">
        <color theme="0"/>
      </top>
      <bottom style="medium">
        <color theme="3" tint="-0.499984740745262"/>
      </bottom>
      <diagonal/>
    </border>
    <border>
      <left style="medium">
        <color theme="3" tint="-0.499984740745262"/>
      </left>
      <right/>
      <top style="thin">
        <color theme="0"/>
      </top>
      <bottom style="thin">
        <color theme="0"/>
      </bottom>
      <diagonal/>
    </border>
    <border>
      <left/>
      <right/>
      <top style="thin">
        <color theme="0"/>
      </top>
      <bottom style="thin">
        <color theme="0"/>
      </bottom>
      <diagonal/>
    </border>
    <border>
      <left/>
      <right style="medium">
        <color theme="3" tint="-0.499984740745262"/>
      </right>
      <top style="thin">
        <color theme="0"/>
      </top>
      <bottom style="thin">
        <color theme="0"/>
      </bottom>
      <diagonal/>
    </border>
  </borders>
  <cellStyleXfs count="20">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9" fontId="3" fillId="0" borderId="0" applyFont="0" applyFill="0" applyBorder="0" applyAlignment="0" applyProtection="0"/>
  </cellStyleXfs>
  <cellXfs count="42">
    <xf numFmtId="0" fontId="0" fillId="0" borderId="0" xfId="0"/>
    <xf numFmtId="164" fontId="4" fillId="5" borderId="1" xfId="0" applyNumberFormat="1" applyFont="1" applyFill="1" applyBorder="1" applyAlignment="1">
      <alignment horizontal="center" vertical="center"/>
    </xf>
    <xf numFmtId="165" fontId="4" fillId="5" borderId="1" xfId="0" applyNumberFormat="1" applyFont="1" applyFill="1" applyBorder="1" applyAlignment="1">
      <alignment horizontal="center" vertical="center"/>
    </xf>
    <xf numFmtId="164" fontId="4" fillId="5" borderId="6" xfId="0" applyNumberFormat="1" applyFont="1" applyFill="1" applyBorder="1" applyAlignment="1">
      <alignment horizontal="center" vertical="center"/>
    </xf>
    <xf numFmtId="164" fontId="4" fillId="5" borderId="7" xfId="0" applyNumberFormat="1" applyFont="1" applyFill="1" applyBorder="1" applyAlignment="1">
      <alignment horizontal="left" vertical="center" indent="1"/>
    </xf>
    <xf numFmtId="9" fontId="4" fillId="5" borderId="8" xfId="19" applyFont="1" applyFill="1" applyBorder="1" applyAlignment="1">
      <alignment horizontal="center" vertical="center"/>
    </xf>
    <xf numFmtId="165" fontId="4" fillId="5" borderId="8" xfId="0" applyNumberFormat="1" applyFont="1" applyFill="1" applyBorder="1" applyAlignment="1">
      <alignment horizontal="center" vertical="center"/>
    </xf>
    <xf numFmtId="164" fontId="4" fillId="5" borderId="8" xfId="0" applyNumberFormat="1" applyFont="1" applyFill="1" applyBorder="1" applyAlignment="1">
      <alignment horizontal="center" vertical="center"/>
    </xf>
    <xf numFmtId="164" fontId="4" fillId="5" borderId="9" xfId="0" applyNumberFormat="1" applyFont="1" applyFill="1" applyBorder="1" applyAlignment="1">
      <alignment horizontal="center" vertical="center"/>
    </xf>
    <xf numFmtId="164" fontId="7" fillId="0" borderId="0" xfId="0" applyNumberFormat="1" applyFont="1"/>
    <xf numFmtId="9" fontId="7" fillId="0" borderId="0" xfId="19" applyFont="1"/>
    <xf numFmtId="165" fontId="7" fillId="0" borderId="0" xfId="0" applyNumberFormat="1" applyFont="1"/>
    <xf numFmtId="164" fontId="7" fillId="0" borderId="0" xfId="0" applyNumberFormat="1" applyFont="1" applyAlignment="1">
      <alignment vertical="center"/>
    </xf>
    <xf numFmtId="164" fontId="8" fillId="2" borderId="5" xfId="0" applyNumberFormat="1" applyFont="1" applyFill="1" applyBorder="1" applyAlignment="1">
      <alignment horizontal="left" vertical="center" indent="1"/>
    </xf>
    <xf numFmtId="9" fontId="8" fillId="2" borderId="1" xfId="19" applyFont="1" applyFill="1" applyBorder="1" applyAlignment="1">
      <alignment horizontal="center" vertical="center"/>
    </xf>
    <xf numFmtId="165" fontId="8" fillId="2" borderId="1" xfId="0" applyNumberFormat="1" applyFont="1" applyFill="1" applyBorder="1" applyAlignment="1">
      <alignment horizontal="center" vertical="center"/>
    </xf>
    <xf numFmtId="164" fontId="8" fillId="2" borderId="1" xfId="0" applyNumberFormat="1" applyFont="1" applyFill="1" applyBorder="1" applyAlignment="1">
      <alignment horizontal="center" vertical="center"/>
    </xf>
    <xf numFmtId="164" fontId="8" fillId="2" borderId="6" xfId="0" applyNumberFormat="1" applyFont="1" applyFill="1" applyBorder="1" applyAlignment="1">
      <alignment horizontal="center" vertical="center"/>
    </xf>
    <xf numFmtId="164" fontId="8" fillId="0" borderId="0" xfId="0" applyNumberFormat="1" applyFont="1" applyAlignment="1">
      <alignment vertical="center"/>
    </xf>
    <xf numFmtId="9" fontId="8" fillId="0" borderId="0" xfId="19" applyFont="1"/>
    <xf numFmtId="165" fontId="8" fillId="0" borderId="0" xfId="0" applyNumberFormat="1" applyFont="1"/>
    <xf numFmtId="164" fontId="8" fillId="0" borderId="0" xfId="0" applyNumberFormat="1" applyFont="1"/>
    <xf numFmtId="164" fontId="4" fillId="5" borderId="5" xfId="0" applyNumberFormat="1" applyFont="1" applyFill="1" applyBorder="1" applyAlignment="1">
      <alignment horizontal="left" vertical="center" indent="1"/>
    </xf>
    <xf numFmtId="164" fontId="4" fillId="5" borderId="1" xfId="0" applyNumberFormat="1" applyFont="1" applyFill="1" applyBorder="1" applyAlignment="1">
      <alignment horizontal="center" vertical="center" wrapText="1"/>
    </xf>
    <xf numFmtId="164" fontId="7" fillId="0" borderId="0" xfId="0" applyNumberFormat="1" applyFont="1" applyAlignment="1">
      <alignment horizontal="center" vertical="center"/>
    </xf>
    <xf numFmtId="165" fontId="7" fillId="0" borderId="0" xfId="0" applyNumberFormat="1" applyFont="1" applyAlignment="1">
      <alignment horizontal="center" vertical="center"/>
    </xf>
    <xf numFmtId="164" fontId="8" fillId="0" borderId="0" xfId="0" applyNumberFormat="1" applyFont="1" applyAlignment="1">
      <alignment horizontal="center" vertical="center"/>
    </xf>
    <xf numFmtId="164" fontId="4" fillId="5" borderId="7" xfId="0" applyNumberFormat="1" applyFont="1" applyFill="1" applyBorder="1" applyAlignment="1">
      <alignment horizontal="center" vertical="center"/>
    </xf>
    <xf numFmtId="165" fontId="8" fillId="0" borderId="0" xfId="0" applyNumberFormat="1" applyFont="1" applyAlignment="1">
      <alignment horizontal="center" vertical="center"/>
    </xf>
    <xf numFmtId="164" fontId="4" fillId="4" borderId="2" xfId="0" applyNumberFormat="1" applyFont="1" applyFill="1" applyBorder="1" applyAlignment="1">
      <alignment horizontal="center" vertical="center"/>
    </xf>
    <xf numFmtId="164" fontId="4" fillId="4" borderId="3" xfId="0" applyNumberFormat="1" applyFont="1" applyFill="1" applyBorder="1" applyAlignment="1">
      <alignment horizontal="center" vertical="center"/>
    </xf>
    <xf numFmtId="164" fontId="4" fillId="4" borderId="4" xfId="0" applyNumberFormat="1" applyFont="1" applyFill="1" applyBorder="1" applyAlignment="1">
      <alignment horizontal="center" vertical="center"/>
    </xf>
    <xf numFmtId="164" fontId="4" fillId="4" borderId="5" xfId="0" applyNumberFormat="1" applyFont="1" applyFill="1" applyBorder="1" applyAlignment="1">
      <alignment horizontal="center" vertical="center"/>
    </xf>
    <xf numFmtId="164" fontId="4" fillId="4" borderId="1" xfId="0" applyNumberFormat="1" applyFont="1" applyFill="1" applyBorder="1" applyAlignment="1">
      <alignment horizontal="center" vertical="center"/>
    </xf>
    <xf numFmtId="164" fontId="4" fillId="4" borderId="6" xfId="0" applyNumberFormat="1" applyFont="1" applyFill="1" applyBorder="1" applyAlignment="1">
      <alignment horizontal="center" vertical="center"/>
    </xf>
    <xf numFmtId="164" fontId="4" fillId="5" borderId="1" xfId="0" applyNumberFormat="1" applyFont="1" applyFill="1" applyBorder="1" applyAlignment="1">
      <alignment horizontal="center" vertical="center"/>
    </xf>
    <xf numFmtId="164" fontId="4" fillId="5" borderId="6" xfId="0" applyNumberFormat="1" applyFont="1" applyFill="1" applyBorder="1" applyAlignment="1">
      <alignment horizontal="center" vertical="center"/>
    </xf>
    <xf numFmtId="164" fontId="4" fillId="5" borderId="5" xfId="0" applyNumberFormat="1" applyFont="1" applyFill="1" applyBorder="1" applyAlignment="1">
      <alignment horizontal="left" vertical="center" indent="1"/>
    </xf>
    <xf numFmtId="9" fontId="4" fillId="5" borderId="1" xfId="19" applyFont="1" applyFill="1" applyBorder="1" applyAlignment="1">
      <alignment horizontal="center" vertical="center"/>
    </xf>
    <xf numFmtId="164" fontId="7" fillId="3" borderId="10" xfId="0" applyNumberFormat="1" applyFont="1" applyFill="1" applyBorder="1" applyAlignment="1">
      <alignment horizontal="center" vertical="center"/>
    </xf>
    <xf numFmtId="164" fontId="7" fillId="3" borderId="11" xfId="0" applyNumberFormat="1" applyFont="1" applyFill="1" applyBorder="1" applyAlignment="1">
      <alignment horizontal="center" vertical="center"/>
    </xf>
    <xf numFmtId="164" fontId="7" fillId="3" borderId="12" xfId="0" applyNumberFormat="1" applyFont="1" applyFill="1" applyBorder="1" applyAlignment="1">
      <alignment horizontal="center" vertical="center"/>
    </xf>
  </cellXfs>
  <cellStyles count="20">
    <cellStyle name="Besuchter Hyperlink" xfId="18" builtinId="9" hidden="1"/>
    <cellStyle name="Besuchter Hyperlink" xfId="8" builtinId="9" hidden="1"/>
    <cellStyle name="Besuchter Hyperlink" xfId="12" builtinId="9" hidden="1"/>
    <cellStyle name="Besuchter Hyperlink" xfId="14" builtinId="9" hidden="1"/>
    <cellStyle name="Besuchter Hyperlink" xfId="16" builtinId="9" hidden="1"/>
    <cellStyle name="Besuchter Hyperlink" xfId="10" builtinId="9" hidden="1"/>
    <cellStyle name="Besuchter Hyperlink" xfId="4" builtinId="9" hidden="1"/>
    <cellStyle name="Besuchter Hyperlink" xfId="6" builtinId="9" hidden="1"/>
    <cellStyle name="Besuchter Hyperlink" xfId="2" builtinId="9" hidden="1"/>
    <cellStyle name="Link" xfId="13" builtinId="8" hidden="1"/>
    <cellStyle name="Link" xfId="15" builtinId="8" hidden="1"/>
    <cellStyle name="Link" xfId="17" builtinId="8" hidden="1"/>
    <cellStyle name="Link" xfId="5" builtinId="8" hidden="1"/>
    <cellStyle name="Link" xfId="9" builtinId="8" hidden="1"/>
    <cellStyle name="Link" xfId="11" builtinId="8" hidden="1"/>
    <cellStyle name="Link" xfId="7" builtinId="8" hidden="1"/>
    <cellStyle name="Link" xfId="3" builtinId="8" hidden="1"/>
    <cellStyle name="Link" xfId="1" builtinId="8" hidden="1"/>
    <cellStyle name="Prozent" xfId="19" builtinId="5"/>
    <cellStyle name="Standard"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Toolbox">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Toolbox" id="{F49935D9-3D17-D94B-A530-65D2B4720181}" vid="{7DEF19D3-32EC-8042-8FF5-814892BBE341}"/>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7"/>
  <sheetViews>
    <sheetView showGridLines="0" tabSelected="1" topLeftCell="A8" zoomScale="91" zoomScaleNormal="100" workbookViewId="0">
      <selection activeCell="D20" sqref="D20"/>
    </sheetView>
  </sheetViews>
  <sheetFormatPr defaultColWidth="3.625" defaultRowHeight="20.100000000000001" customHeight="1"/>
  <cols>
    <col min="1" max="1" width="3.625" style="21"/>
    <col min="2" max="2" width="36.625" style="21" customWidth="1"/>
    <col min="3" max="3" width="12.625" style="19" customWidth="1"/>
    <col min="4" max="4" width="12.625" style="20" customWidth="1"/>
    <col min="5" max="5" width="12.625" style="21" customWidth="1"/>
    <col min="6" max="6" width="12.625" style="20" customWidth="1"/>
    <col min="7" max="7" width="12.625" style="21" customWidth="1"/>
    <col min="8" max="8" width="12.625" style="20" customWidth="1"/>
    <col min="9" max="9" width="12.625" style="21" customWidth="1"/>
    <col min="10" max="16384" width="3.625" style="21"/>
  </cols>
  <sheetData>
    <row r="1" spans="2:9" s="9" customFormat="1" ht="20.100000000000001" customHeight="1" thickBot="1">
      <c r="C1" s="10"/>
      <c r="D1" s="11"/>
      <c r="F1" s="11"/>
      <c r="H1" s="11"/>
    </row>
    <row r="2" spans="2:9" s="9" customFormat="1" ht="20.100000000000001" customHeight="1">
      <c r="B2" s="29" t="s">
        <v>0</v>
      </c>
      <c r="C2" s="30"/>
      <c r="D2" s="30"/>
      <c r="E2" s="30"/>
      <c r="F2" s="30"/>
      <c r="G2" s="30"/>
      <c r="H2" s="30"/>
      <c r="I2" s="31"/>
    </row>
    <row r="3" spans="2:9" s="9" customFormat="1" ht="20.100000000000001" customHeight="1">
      <c r="B3" s="32"/>
      <c r="C3" s="33"/>
      <c r="D3" s="33"/>
      <c r="E3" s="33"/>
      <c r="F3" s="33"/>
      <c r="G3" s="33"/>
      <c r="H3" s="33"/>
      <c r="I3" s="34"/>
    </row>
    <row r="4" spans="2:9" s="12" customFormat="1" ht="20.100000000000001" customHeight="1">
      <c r="B4" s="39" t="s">
        <v>1</v>
      </c>
      <c r="C4" s="40"/>
      <c r="D4" s="40"/>
      <c r="E4" s="40"/>
      <c r="F4" s="40"/>
      <c r="G4" s="40"/>
      <c r="H4" s="40"/>
      <c r="I4" s="41"/>
    </row>
    <row r="5" spans="2:9" s="12" customFormat="1" ht="20.100000000000001" customHeight="1">
      <c r="B5" s="39" t="s">
        <v>2</v>
      </c>
      <c r="C5" s="40"/>
      <c r="D5" s="40"/>
      <c r="E5" s="40"/>
      <c r="F5" s="40"/>
      <c r="G5" s="40"/>
      <c r="H5" s="40"/>
      <c r="I5" s="41"/>
    </row>
    <row r="6" spans="2:9" s="12" customFormat="1" ht="20.100000000000001" customHeight="1">
      <c r="B6" s="37" t="s">
        <v>3</v>
      </c>
      <c r="C6" s="38" t="s">
        <v>4</v>
      </c>
      <c r="D6" s="35" t="s">
        <v>5</v>
      </c>
      <c r="E6" s="35"/>
      <c r="F6" s="35" t="s">
        <v>6</v>
      </c>
      <c r="G6" s="35"/>
      <c r="H6" s="35" t="s">
        <v>7</v>
      </c>
      <c r="I6" s="36"/>
    </row>
    <row r="7" spans="2:9" s="9" customFormat="1" ht="20.100000000000001" customHeight="1">
      <c r="B7" s="37"/>
      <c r="C7" s="38"/>
      <c r="D7" s="2" t="s">
        <v>8</v>
      </c>
      <c r="E7" s="1" t="s">
        <v>9</v>
      </c>
      <c r="F7" s="2" t="s">
        <v>8</v>
      </c>
      <c r="G7" s="1" t="s">
        <v>9</v>
      </c>
      <c r="H7" s="2" t="s">
        <v>8</v>
      </c>
      <c r="I7" s="3" t="s">
        <v>9</v>
      </c>
    </row>
    <row r="8" spans="2:9" s="18" customFormat="1" ht="20.100000000000001" customHeight="1">
      <c r="B8" s="13" t="s">
        <v>10</v>
      </c>
      <c r="C8" s="14">
        <v>0.25</v>
      </c>
      <c r="D8" s="15">
        <v>9</v>
      </c>
      <c r="E8" s="16">
        <f>C8*D8</f>
        <v>2.25</v>
      </c>
      <c r="F8" s="15">
        <v>8</v>
      </c>
      <c r="G8" s="16">
        <f>C8*F8</f>
        <v>2</v>
      </c>
      <c r="H8" s="15">
        <v>7</v>
      </c>
      <c r="I8" s="17">
        <f>C8*H8</f>
        <v>1.75</v>
      </c>
    </row>
    <row r="9" spans="2:9" s="18" customFormat="1" ht="20.100000000000001" customHeight="1">
      <c r="B9" s="13" t="s">
        <v>11</v>
      </c>
      <c r="C9" s="14">
        <v>0.15</v>
      </c>
      <c r="D9" s="15">
        <v>8</v>
      </c>
      <c r="E9" s="16">
        <f t="shared" ref="E9:E14" si="0">C9*D9</f>
        <v>1.2</v>
      </c>
      <c r="F9" s="15">
        <v>9</v>
      </c>
      <c r="G9" s="16">
        <f t="shared" ref="G9:G14" si="1">C9*F9</f>
        <v>1.3499999999999999</v>
      </c>
      <c r="H9" s="15">
        <v>6</v>
      </c>
      <c r="I9" s="17">
        <f t="shared" ref="I9:I14" si="2">C9*H9</f>
        <v>0.89999999999999991</v>
      </c>
    </row>
    <row r="10" spans="2:9" s="18" customFormat="1" ht="20.100000000000001" customHeight="1">
      <c r="B10" s="13" t="s">
        <v>12</v>
      </c>
      <c r="C10" s="14">
        <v>0.2</v>
      </c>
      <c r="D10" s="15">
        <v>9</v>
      </c>
      <c r="E10" s="16">
        <f t="shared" si="0"/>
        <v>1.8</v>
      </c>
      <c r="F10" s="15">
        <v>7</v>
      </c>
      <c r="G10" s="16">
        <f t="shared" si="1"/>
        <v>1.4000000000000001</v>
      </c>
      <c r="H10" s="15">
        <v>8</v>
      </c>
      <c r="I10" s="17">
        <f t="shared" si="2"/>
        <v>1.6</v>
      </c>
    </row>
    <row r="11" spans="2:9" s="18" customFormat="1" ht="20.100000000000001" customHeight="1">
      <c r="B11" s="13" t="s">
        <v>13</v>
      </c>
      <c r="C11" s="14">
        <v>0.2</v>
      </c>
      <c r="D11" s="15">
        <v>8</v>
      </c>
      <c r="E11" s="16">
        <f t="shared" si="0"/>
        <v>1.6</v>
      </c>
      <c r="F11" s="15">
        <v>7</v>
      </c>
      <c r="G11" s="16">
        <f t="shared" si="1"/>
        <v>1.4000000000000001</v>
      </c>
      <c r="H11" s="15">
        <v>7</v>
      </c>
      <c r="I11" s="17">
        <f t="shared" si="2"/>
        <v>1.4000000000000001</v>
      </c>
    </row>
    <row r="12" spans="2:9" s="18" customFormat="1" ht="20.100000000000001" customHeight="1">
      <c r="B12" s="13" t="s">
        <v>14</v>
      </c>
      <c r="C12" s="14">
        <v>0.1</v>
      </c>
      <c r="D12" s="15">
        <v>8</v>
      </c>
      <c r="E12" s="16">
        <f t="shared" si="0"/>
        <v>0.8</v>
      </c>
      <c r="F12" s="15">
        <v>9</v>
      </c>
      <c r="G12" s="16">
        <f t="shared" si="1"/>
        <v>0.9</v>
      </c>
      <c r="H12" s="15">
        <v>7</v>
      </c>
      <c r="I12" s="17">
        <f t="shared" si="2"/>
        <v>0.70000000000000007</v>
      </c>
    </row>
    <row r="13" spans="2:9" s="18" customFormat="1" ht="20.100000000000001" customHeight="1">
      <c r="B13" s="13" t="s">
        <v>15</v>
      </c>
      <c r="C13" s="14">
        <v>0.05</v>
      </c>
      <c r="D13" s="15">
        <v>10</v>
      </c>
      <c r="E13" s="16">
        <f t="shared" si="0"/>
        <v>0.5</v>
      </c>
      <c r="F13" s="15">
        <v>10</v>
      </c>
      <c r="G13" s="16">
        <f t="shared" si="1"/>
        <v>0.5</v>
      </c>
      <c r="H13" s="15">
        <v>10</v>
      </c>
      <c r="I13" s="17">
        <f t="shared" si="2"/>
        <v>0.5</v>
      </c>
    </row>
    <row r="14" spans="2:9" s="18" customFormat="1" ht="20.100000000000001" customHeight="1">
      <c r="B14" s="13" t="s">
        <v>16</v>
      </c>
      <c r="C14" s="14">
        <v>0.05</v>
      </c>
      <c r="D14" s="15">
        <v>8</v>
      </c>
      <c r="E14" s="16">
        <f t="shared" si="0"/>
        <v>0.4</v>
      </c>
      <c r="F14" s="15">
        <v>9</v>
      </c>
      <c r="G14" s="16">
        <f t="shared" si="1"/>
        <v>0.45</v>
      </c>
      <c r="H14" s="15">
        <v>7</v>
      </c>
      <c r="I14" s="17">
        <f t="shared" si="2"/>
        <v>0.35000000000000003</v>
      </c>
    </row>
    <row r="15" spans="2:9" s="12" customFormat="1" ht="20.100000000000001" customHeight="1" thickBot="1">
      <c r="B15" s="4" t="s">
        <v>17</v>
      </c>
      <c r="C15" s="5">
        <f>SUM(C8:C14)</f>
        <v>1</v>
      </c>
      <c r="D15" s="6"/>
      <c r="E15" s="7">
        <f>SUM(E8:E14)</f>
        <v>8.5499999999999989</v>
      </c>
      <c r="F15" s="6"/>
      <c r="G15" s="7">
        <f>SUM(G8:G14)</f>
        <v>8</v>
      </c>
      <c r="H15" s="6"/>
      <c r="I15" s="8">
        <f>SUM(I8:I14)</f>
        <v>7.2</v>
      </c>
    </row>
    <row r="17" spans="2:2" ht="20.100000000000001" customHeight="1">
      <c r="B17" s="21" t="s">
        <v>18</v>
      </c>
    </row>
  </sheetData>
  <mergeCells count="8">
    <mergeCell ref="B2:I3"/>
    <mergeCell ref="D6:E6"/>
    <mergeCell ref="F6:G6"/>
    <mergeCell ref="H6:I6"/>
    <mergeCell ref="B6:B7"/>
    <mergeCell ref="C6:C7"/>
    <mergeCell ref="B5:I5"/>
    <mergeCell ref="B4:I4"/>
  </mergeCells>
  <phoneticPr fontId="6" type="noConversion"/>
  <pageMargins left="0.75" right="0.75" top="1" bottom="1" header="0.5" footer="0.5"/>
  <pageSetup paperSize="9" orientation="portrait" horizontalDpi="4294967292" verticalDpi="4294967292"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647DE-53DE-460A-8C85-40AA5413B6C7}">
  <dimension ref="B1:G17"/>
  <sheetViews>
    <sheetView showGridLines="0" zoomScaleNormal="100" workbookViewId="0"/>
  </sheetViews>
  <sheetFormatPr defaultColWidth="3.625" defaultRowHeight="20.100000000000001" customHeight="1"/>
  <cols>
    <col min="1" max="1" width="3.625" style="26"/>
    <col min="2" max="2" width="36.625" style="26" customWidth="1"/>
    <col min="3" max="3" width="25.625" style="26" customWidth="1"/>
    <col min="4" max="4" width="25.625" style="28" customWidth="1"/>
    <col min="5" max="5" width="25.625" style="26" customWidth="1"/>
    <col min="6" max="6" width="25.625" style="28" customWidth="1"/>
    <col min="7" max="7" width="25.625" style="26" customWidth="1"/>
    <col min="8" max="16384" width="3.625" style="26"/>
  </cols>
  <sheetData>
    <row r="1" spans="2:7" s="24" customFormat="1" ht="20.100000000000001" customHeight="1" thickBot="1">
      <c r="D1" s="25"/>
      <c r="F1" s="25"/>
    </row>
    <row r="2" spans="2:7" s="24" customFormat="1" ht="20.100000000000001" customHeight="1">
      <c r="B2" s="29" t="s">
        <v>19</v>
      </c>
      <c r="C2" s="30"/>
      <c r="D2" s="30"/>
      <c r="E2" s="30"/>
      <c r="F2" s="30"/>
      <c r="G2" s="31"/>
    </row>
    <row r="3" spans="2:7" s="24" customFormat="1" ht="20.100000000000001" customHeight="1">
      <c r="B3" s="32"/>
      <c r="C3" s="33"/>
      <c r="D3" s="33"/>
      <c r="E3" s="33"/>
      <c r="F3" s="33"/>
      <c r="G3" s="34"/>
    </row>
    <row r="4" spans="2:7" s="24" customFormat="1" ht="20.100000000000001" customHeight="1">
      <c r="B4" s="39" t="str">
        <f>Nutzwertanalyse!B4</f>
        <v>MeetPoint</v>
      </c>
      <c r="C4" s="40"/>
      <c r="D4" s="40"/>
      <c r="E4" s="40"/>
      <c r="F4" s="40"/>
      <c r="G4" s="41"/>
    </row>
    <row r="5" spans="2:7" s="24" customFormat="1" ht="20.100000000000001" customHeight="1">
      <c r="B5" s="39" t="str">
        <f>Nutzwertanalyse!B5</f>
        <v>Auswahl der geeignetsten Entwicklungsumgebung und der passenden Tools für die Umsetzung der Webapplikation MeetPoint.</v>
      </c>
      <c r="C5" s="40"/>
      <c r="D5" s="40"/>
      <c r="E5" s="40"/>
      <c r="F5" s="40"/>
      <c r="G5" s="41"/>
    </row>
    <row r="6" spans="2:7" s="24" customFormat="1" ht="38.1" customHeight="1">
      <c r="B6" s="22" t="s">
        <v>3</v>
      </c>
      <c r="C6" s="23" t="s">
        <v>20</v>
      </c>
      <c r="D6" s="23" t="s">
        <v>21</v>
      </c>
      <c r="E6" s="23" t="s">
        <v>22</v>
      </c>
      <c r="F6" s="23" t="s">
        <v>23</v>
      </c>
      <c r="G6" s="23" t="s">
        <v>24</v>
      </c>
    </row>
    <row r="7" spans="2:7" ht="20.100000000000001" customHeight="1">
      <c r="B7" s="13" t="str">
        <f>Nutzwertanalyse!B8</f>
        <v>Benutzerfreundlichkeit</v>
      </c>
      <c r="C7" s="16"/>
      <c r="D7" s="15"/>
      <c r="E7" s="16"/>
      <c r="F7" s="15"/>
      <c r="G7" s="17"/>
    </row>
    <row r="8" spans="2:7" ht="20.100000000000001" customHeight="1">
      <c r="B8" s="13" t="str">
        <f>Nutzwertanalyse!B9</f>
        <v>Einarbeitungsaufwand</v>
      </c>
      <c r="C8" s="16"/>
      <c r="D8" s="15"/>
      <c r="E8" s="16"/>
      <c r="F8" s="15"/>
      <c r="G8" s="17"/>
    </row>
    <row r="9" spans="2:7" ht="20.100000000000001" customHeight="1">
      <c r="B9" s="13" t="str">
        <f>Nutzwertanalyse!B10</f>
        <v>Datenbankunterstützung</v>
      </c>
      <c r="C9" s="16"/>
      <c r="D9" s="15"/>
      <c r="E9" s="16"/>
      <c r="F9" s="15"/>
      <c r="G9" s="17"/>
    </row>
    <row r="10" spans="2:7" ht="20.100000000000001" customHeight="1">
      <c r="B10" s="13" t="str">
        <f>Nutzwertanalyse!B11</f>
        <v>Zusammenarbeit im Team</v>
      </c>
      <c r="C10" s="16"/>
      <c r="D10" s="15"/>
      <c r="E10" s="16"/>
      <c r="F10" s="15"/>
      <c r="G10" s="17"/>
    </row>
    <row r="11" spans="2:7" ht="20.100000000000001" customHeight="1">
      <c r="B11" s="13" t="str">
        <f>Nutzwertanalyse!B12</f>
        <v>Performance / Schnelligkeit</v>
      </c>
      <c r="C11" s="16"/>
      <c r="D11" s="15"/>
      <c r="E11" s="16"/>
      <c r="F11" s="15"/>
      <c r="G11" s="17"/>
    </row>
    <row r="12" spans="2:7" ht="20.100000000000001" customHeight="1">
      <c r="B12" s="13" t="str">
        <f>Nutzwertanalyse!B13</f>
        <v>Lizenz / Kosten</v>
      </c>
      <c r="C12" s="16"/>
      <c r="D12" s="15"/>
      <c r="E12" s="16"/>
      <c r="F12" s="15"/>
      <c r="G12" s="17"/>
    </row>
    <row r="13" spans="2:7" ht="20.100000000000001" customHeight="1">
      <c r="B13" s="13" t="str">
        <f>Nutzwertanalyse!B14</f>
        <v>Installationsaufwand</v>
      </c>
      <c r="C13" s="16" t="s">
        <v>25</v>
      </c>
      <c r="D13" s="15" t="s">
        <v>26</v>
      </c>
      <c r="E13" s="15" t="s">
        <v>27</v>
      </c>
      <c r="F13" s="15" t="s">
        <v>28</v>
      </c>
      <c r="G13" s="17" t="s">
        <v>29</v>
      </c>
    </row>
    <row r="14" spans="2:7" ht="20.100000000000001" customHeight="1">
      <c r="B14" s="13" t="e">
        <f>Nutzwertanalyse!#REF!</f>
        <v>#REF!</v>
      </c>
      <c r="C14" s="16"/>
      <c r="D14" s="15"/>
      <c r="E14" s="16"/>
      <c r="F14" s="15"/>
      <c r="G14" s="17"/>
    </row>
    <row r="15" spans="2:7" ht="20.100000000000001" customHeight="1">
      <c r="B15" s="13" t="e">
        <f>Nutzwertanalyse!#REF!</f>
        <v>#REF!</v>
      </c>
      <c r="C15" s="16"/>
      <c r="D15" s="15"/>
      <c r="E15" s="16"/>
      <c r="F15" s="15"/>
      <c r="G15" s="17"/>
    </row>
    <row r="16" spans="2:7" ht="20.100000000000001" customHeight="1">
      <c r="B16" s="13" t="e">
        <f>Nutzwertanalyse!#REF!</f>
        <v>#REF!</v>
      </c>
      <c r="C16" s="16"/>
      <c r="D16" s="15"/>
      <c r="E16" s="16"/>
      <c r="F16" s="15"/>
      <c r="G16" s="17"/>
    </row>
    <row r="17" spans="2:7" s="24" customFormat="1" ht="20.100000000000001" customHeight="1" thickBot="1">
      <c r="B17" s="27"/>
      <c r="C17" s="7"/>
      <c r="D17" s="6"/>
      <c r="E17" s="7"/>
      <c r="F17" s="6"/>
      <c r="G17" s="8"/>
    </row>
  </sheetData>
  <mergeCells count="3">
    <mergeCell ref="B2:G3"/>
    <mergeCell ref="B5:G5"/>
    <mergeCell ref="B4:G4"/>
  </mergeCells>
  <phoneticPr fontId="6" type="noConversion"/>
  <pageMargins left="0.75" right="0.75" top="1" bottom="1" header="0.5" footer="0.5"/>
  <pageSetup paperSize="9" orientation="portrait" horizontalDpi="4294967292" verticalDpi="4294967292"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kument" ma:contentTypeID="0x0101009E405C011AB7FD43A636AAD25B39C039" ma:contentTypeVersion="3" ma:contentTypeDescription="Ein neues Dokument erstellen." ma:contentTypeScope="" ma:versionID="91b700c40e3eaad01534e94979a88852">
  <xsd:schema xmlns:xsd="http://www.w3.org/2001/XMLSchema" xmlns:xs="http://www.w3.org/2001/XMLSchema" xmlns:p="http://schemas.microsoft.com/office/2006/metadata/properties" xmlns:ns2="d7fc1d00-d2f3-4c1e-a556-fef28d523ad8" targetNamespace="http://schemas.microsoft.com/office/2006/metadata/properties" ma:root="true" ma:fieldsID="823d45bde644085862813c7606d1e4e6" ns2:_="">
    <xsd:import namespace="d7fc1d00-d2f3-4c1e-a556-fef28d523ad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fc1d00-d2f3-4c1e-a556-fef28d523a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01A67C-54EA-423D-B034-A3D6AA2D738D}"/>
</file>

<file path=customXml/itemProps2.xml><?xml version="1.0" encoding="utf-8"?>
<ds:datastoreItem xmlns:ds="http://schemas.openxmlformats.org/officeDocument/2006/customXml" ds:itemID="{0A7BD472-6E80-44AB-BDC8-4159A0A68A40}"/>
</file>

<file path=customXml/itemProps3.xml><?xml version="1.0" encoding="utf-8"?>
<ds:datastoreItem xmlns:ds="http://schemas.openxmlformats.org/officeDocument/2006/customXml" ds:itemID="{593511B8-609D-4B85-9C0A-FD8EBE79805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FMZ; Wenger Noël</dc:creator>
  <cp:keywords/>
  <dc:description/>
  <cp:lastModifiedBy>FMZ; Wenger Noel</cp:lastModifiedBy>
  <cp:revision/>
  <dcterms:created xsi:type="dcterms:W3CDTF">2016-01-07T12:30:48Z</dcterms:created>
  <dcterms:modified xsi:type="dcterms:W3CDTF">2026-03-27T10:26:35Z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0x0101009E405C011AB7FD43A636AAD25B39C039</vt:lpwstr>
  </property>
</Properties>
</file>